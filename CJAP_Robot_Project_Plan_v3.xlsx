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roject Plan" sheetId="2" state="visible" r:id="rId2"/>
    <sheet xmlns:r="http://schemas.openxmlformats.org/officeDocument/2006/relationships" name="Corpus Expansion" sheetId="3" state="visible" r:id="rId3"/>
    <sheet xmlns:r="http://schemas.openxmlformats.org/officeDocument/2006/relationships" name="Data Flow" sheetId="4" state="visible" r:id="rId4"/>
    <sheet xmlns:r="http://schemas.openxmlformats.org/officeDocument/2006/relationships" name="Intake Prompts" sheetId="5" state="visible" r:id="rId5"/>
    <sheet xmlns:r="http://schemas.openxmlformats.org/officeDocument/2006/relationships" name="Format · Source .md" sheetId="6" state="visible" r:id="rId6"/>
    <sheet xmlns:r="http://schemas.openxmlformats.org/officeDocument/2006/relationships" name="Format · Enriched row" sheetId="7" state="visible" r:id="rId7"/>
    <sheet xmlns:r="http://schemas.openxmlformats.org/officeDocument/2006/relationships" name="Format · Corpus output" sheetId="8" state="visible" r:id="rId8"/>
    <sheet xmlns:r="http://schemas.openxmlformats.org/officeDocument/2006/relationships" name="Themes &amp; IDs" sheetId="9" state="visible" r:id="rId9"/>
    <sheet xmlns:r="http://schemas.openxmlformats.org/officeDocument/2006/relationships" name="Metrics &amp; Gates" sheetId="10" state="visible" r:id="rId10"/>
    <sheet xmlns:r="http://schemas.openxmlformats.org/officeDocument/2006/relationships" name="Reuse Checklist" sheetId="11" state="visible" r:id="rId1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3"/>
    </font>
    <font>
      <name val="Arial"/>
      <b val="1"/>
      <color rgb="00FFFFFF"/>
      <sz val="10"/>
    </font>
    <font>
      <name val="Arial"/>
      <b val="1"/>
      <sz val="10"/>
    </font>
    <font>
      <name val="Arial"/>
      <sz val="10"/>
    </font>
    <font>
      <name val="Arial"/>
      <b val="1"/>
      <sz val="11"/>
    </font>
    <font>
      <name val="Arial"/>
      <b val="1"/>
      <color rgb="00C00000"/>
      <sz val="10"/>
    </font>
    <font>
      <name val="Consolas"/>
      <b val="1"/>
      <sz val="9"/>
    </font>
    <font>
      <name val="Consolas"/>
      <sz val="9"/>
    </font>
  </fonts>
  <fills count="7">
    <fill>
      <patternFill/>
    </fill>
    <fill>
      <patternFill patternType="gray125"/>
    </fill>
    <fill>
      <patternFill patternType="solid">
        <fgColor rgb="001F3864"/>
      </patternFill>
    </fill>
    <fill>
      <patternFill patternType="solid">
        <fgColor rgb="002E5496"/>
      </patternFill>
    </fill>
    <fill>
      <patternFill patternType="solid">
        <fgColor rgb="00FFF2CC"/>
      </patternFill>
    </fill>
    <fill>
      <patternFill patternType="solid">
        <fgColor rgb="00FCE4D6"/>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left" vertical="top" wrapText="1"/>
    </xf>
    <xf numFmtId="0" fontId="0" fillId="2" borderId="0" pivotButton="0" quotePrefix="0" xfId="0"/>
    <xf numFmtId="0" fontId="2" fillId="3" borderId="0" applyAlignment="1" pivotButton="0" quotePrefix="0" xfId="0">
      <alignment horizontal="left" vertical="top" wrapText="1"/>
    </xf>
    <xf numFmtId="0" fontId="0" fillId="3" borderId="0" pivotButton="0" quotePrefix="0" xfId="0"/>
    <xf numFmtId="0" fontId="3" fillId="0" borderId="0" applyAlignment="1" pivotButton="0" quotePrefix="0" xfId="0">
      <alignment horizontal="left" vertical="top" wrapText="1"/>
    </xf>
    <xf numFmtId="0" fontId="4" fillId="0" borderId="0" applyAlignment="1" pivotButton="0" quotePrefix="0" xfId="0">
      <alignment vertical="top" wrapText="1"/>
    </xf>
    <xf numFmtId="0" fontId="3" fillId="4" borderId="0" applyAlignment="1" pivotButton="0" quotePrefix="0" xfId="0">
      <alignment horizontal="left" vertical="top" wrapText="1"/>
    </xf>
    <xf numFmtId="0" fontId="4" fillId="4" borderId="0" applyAlignment="1" pivotButton="0" quotePrefix="0" xfId="0">
      <alignment vertical="top" wrapText="1"/>
    </xf>
    <xf numFmtId="0" fontId="3" fillId="0" borderId="0" pivotButton="0" quotePrefix="0" xfId="0"/>
    <xf numFmtId="0" fontId="5" fillId="0" borderId="0" applyAlignment="1" pivotButton="0" quotePrefix="0" xfId="0">
      <alignment vertical="top" wrapText="1"/>
    </xf>
    <xf numFmtId="0" fontId="5" fillId="0" borderId="0" pivotButton="0" quotePrefix="0" xfId="0"/>
    <xf numFmtId="0" fontId="3" fillId="5" borderId="0" applyAlignment="1" pivotButton="0" quotePrefix="0" xfId="0">
      <alignment vertical="top" wrapText="1"/>
    </xf>
    <xf numFmtId="0" fontId="0" fillId="5" borderId="0" pivotButton="0" quotePrefix="0" xfId="0"/>
    <xf numFmtId="0" fontId="6" fillId="0" borderId="0" applyAlignment="1" pivotButton="0" quotePrefix="0" xfId="0">
      <alignment horizontal="left" vertical="top" wrapText="1"/>
    </xf>
    <xf numFmtId="0" fontId="7" fillId="0" borderId="0" pivotButton="0" quotePrefix="0" xfId="0"/>
    <xf numFmtId="0" fontId="8" fillId="6" borderId="0" applyAlignment="1" pivotButton="0" quotePrefix="0" xfId="0">
      <alignment vertical="top" wrapText="1"/>
    </xf>
    <xf numFmtId="0" fontId="7" fillId="0" borderId="0" applyAlignment="1" pivotButton="0" quotePrefix="0" xfId="0">
      <alignment horizontal="left" vertical="top" wrapText="1"/>
    </xf>
    <xf numFmtId="0" fontId="6" fillId="0" borderId="0" pivotButton="0" quotePrefix="0" xfId="0"/>
    <xf numFmtId="0" fontId="3" fillId="5" borderId="0" pivotButton="0" quotePrefix="0" xfId="0"/>
    <xf numFmtId="0" fontId="4" fillId="0" borderId="1" applyAlignment="1" pivotButton="0" quotePrefix="0" xfId="0">
      <alignment vertical="top" wrapText="1"/>
    </xf>
    <xf numFmtId="0" fontId="3" fillId="0" borderId="1" applyAlignment="1" pivotButton="0" quotePrefix="0" xfId="0">
      <alignment vertical="top" wrapText="1"/>
    </xf>
    <xf numFmtId="0" fontId="7" fillId="5" borderId="0" pivotButton="0" quotePrefix="0" xfId="0"/>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pane ySplit="1" topLeftCell="A2" activePane="bottomLeft" state="frozen"/>
      <selection pane="bottomLeft" activeCell="A1" sqref="A1"/>
    </sheetView>
  </sheetViews>
  <sheetFormatPr baseColWidth="8" defaultRowHeight="15"/>
  <cols>
    <col width="30" customWidth="1" min="1" max="1"/>
    <col width="118" customWidth="1" min="2" max="2"/>
  </cols>
  <sheetData>
    <row r="1" ht="26" customHeight="1">
      <c r="A1" s="1" t="inlineStr">
        <is>
          <t>CJAP CONVERSATIONAL ROBOT — WHOLE-PROJECT PLAN v3</t>
        </is>
      </c>
      <c r="B1" s="2" t="n"/>
    </row>
    <row r="4" ht="20" customHeight="1">
      <c r="A4" s="3" t="inlineStr">
        <is>
          <t>WHAT THIS IS</t>
        </is>
      </c>
      <c r="B4" s="4" t="n"/>
    </row>
    <row r="5" ht="15" customHeight="1">
      <c r="A5" s="5" t="inlineStr">
        <is>
          <t>The product</t>
        </is>
      </c>
      <c r="B5" s="6" t="inlineStr">
        <is>
          <t>A Reachy Mini robot that answers a visitor's spoken question in the licensed voice of retired Philippine Chief Justice Artemio V. Panganiban, grounded ONLY in his own corpus — his newspaper columns, his books, his speeches and his biography. It is delivered to the Foundation for Liberty and Prosperity.</t>
        </is>
      </c>
    </row>
    <row r="6" ht="15" customHeight="1">
      <c r="A6" s="5" t="inlineStr">
        <is>
          <t>The hard constraint</t>
        </is>
      </c>
      <c r="B6" s="6" t="inlineStr">
        <is>
          <t>Every answer must be traceable to something he actually wrote or said. The robot may decline; it may not invent. That single rule is why so much of this plan is about the corpus and the evidence, not about the model.</t>
        </is>
      </c>
    </row>
    <row r="7" ht="15" customHeight="1">
      <c r="A7" s="5" t="inlineStr">
        <is>
          <t>This workbook</t>
        </is>
      </c>
      <c r="B7" s="6" t="inlineStr">
        <is>
          <t>Seven planning tabs carried forward from v2, plus four NEW reference tabs that pin down the exact file formats. Every task row carries a paste-ready Claude prompt in the 'How' column.</t>
        </is>
      </c>
    </row>
    <row r="9" ht="20" customHeight="1">
      <c r="A9" s="3" t="inlineStr">
        <is>
          <t>HOW TO USE IT</t>
        </is>
      </c>
      <c r="B9" s="4" t="n"/>
    </row>
    <row r="10" ht="15" customHeight="1">
      <c r="A10" s="5" t="inlineStr">
        <is>
          <t>Project Plan</t>
        </is>
      </c>
      <c r="B10" s="6" t="inlineStr">
        <is>
          <t>P0-P11, the whole arc from consent to operations. Run in ID order; dependencies are named. Status uses [x] Done / [~] Partial / [ ] Not started, and Evidence must point at a real file.</t>
        </is>
      </c>
    </row>
    <row r="11" ht="15" customHeight="1">
      <c r="A11" s="5" t="inlineStr">
        <is>
          <t>Corpus Expansion</t>
        </is>
      </c>
      <c r="B11" s="6" t="inlineStr">
        <is>
          <t>CE-1 to CE-18. This is the RECURRING runbook — every time material is added, corrected or retired. Batch work follows these numbers, not the P-numbers.</t>
        </is>
      </c>
    </row>
    <row r="12" ht="15" customHeight="1">
      <c r="A12" s="5" t="inlineStr">
        <is>
          <t>Data Flow</t>
        </is>
      </c>
      <c r="B12" s="6" t="inlineStr">
        <is>
          <t>Source text -&gt; enriched row -&gt; corpus -&gt; index. Read it once before your first batch.</t>
        </is>
      </c>
    </row>
    <row r="13" ht="15" customHeight="1">
      <c r="A13" s="5" t="inlineStr">
        <is>
          <t>Intake Prompts</t>
        </is>
      </c>
      <c r="B13" s="6" t="inlineStr">
        <is>
          <t>Paste-ready prompts by source type (book / column / speech / biography).</t>
        </is>
      </c>
    </row>
    <row r="14" ht="15" customHeight="1">
      <c r="A14" s="5" t="inlineStr">
        <is>
          <t>Format · Source .md</t>
        </is>
      </c>
      <c r="B14" s="6" t="inlineStr">
        <is>
          <t>NEW. The contract every source file must meet, with four real samples.</t>
        </is>
      </c>
    </row>
    <row r="15" ht="15" customHeight="1">
      <c r="A15" s="5" t="inlineStr">
        <is>
          <t>Format · Enriched row</t>
        </is>
      </c>
      <c r="B15" s="6" t="inlineStr">
        <is>
          <t>NEW. The 15-field curated schema, with four real rows.</t>
        </is>
      </c>
    </row>
    <row r="16" ht="15" customHeight="1">
      <c r="A16" s="5" t="inlineStr">
        <is>
          <t>Format · Corpus output</t>
        </is>
      </c>
      <c r="B16" s="6" t="inlineStr">
        <is>
          <t>NEW. What the generator produces — front matter and the paired .json.</t>
        </is>
      </c>
    </row>
    <row r="17" ht="15" customHeight="1">
      <c r="A17" s="5" t="inlineStr">
        <is>
          <t>Themes &amp; IDs</t>
        </is>
      </c>
      <c r="B17" s="6" t="inlineStr">
        <is>
          <t>NEW. The five themes, the identifier convention, and the live corpus counts.</t>
        </is>
      </c>
    </row>
    <row r="19" ht="20" customHeight="1">
      <c r="A19" s="3" t="inlineStr">
        <is>
          <t>WHAT 'INDEXING' MEANS HERE — in plain language</t>
        </is>
      </c>
      <c r="B19" s="4" t="n"/>
    </row>
    <row r="20" ht="15" customHeight="1">
      <c r="A20" s="5" t="inlineStr">
        <is>
          <t>The problem</t>
        </is>
      </c>
      <c r="B20" s="6" t="inlineStr">
        <is>
          <t>The corpus is far too large to hand to a model whole. Before the robot can speak, something has to find the handful of passages that actually answer THIS question. That finding step is retrieval, and an index is the prepared structure that makes it fast and repeatable.</t>
        </is>
      </c>
    </row>
    <row r="21" ht="15" customHeight="1">
      <c r="A21" s="5" t="inlineStr">
        <is>
          <t>1 · Chunking</t>
        </is>
      </c>
      <c r="B21" s="6" t="inlineStr">
        <is>
          <t>Each document is cut into passages of roughly 200-400 tokens, split on the author's own headings so an argument is not severed mid-thought. An anecdote is never split. A chunk is the unit that gets retrieved — not a whole document.</t>
        </is>
      </c>
    </row>
    <row r="22" ht="24" customHeight="1">
      <c r="A22" s="5" t="inlineStr">
        <is>
          <t>2 · The dense index
(meaning)</t>
        </is>
      </c>
      <c r="B22" s="6" t="inlineStr">
        <is>
          <t>Every chunk is turned into a list of 768 numbers — an embedding — by a model that places text with similar MEANING close together in that 768-dimensional space. A question is embedded the same way, and the closest chunks are the candidates. This is what lets 'What does the rule of law actually mean?' find a passage that never uses those exact words.
File: data/index/corpus_dense.npy — one row per chunk. Encoder: BAAI/bge-base-en-v1.5 at 768 dimensions, ratified at P3.1 and NEVER mixed with another model; two encoders in one index silently corrupts every comparison and no amount of tuning repairs it.</t>
        </is>
      </c>
    </row>
    <row r="23" ht="24" customHeight="1">
      <c r="A23" s="5" t="inlineStr">
        <is>
          <t>3 · The sparse index
(exact words)</t>
        </is>
      </c>
      <c r="B23" s="6" t="inlineStr">
        <is>
          <t>BM25 keyword search over the same chunks. Meaning-matching is bad at things that have no synonyms — a docket number, a statute, a person's name. Sparse catches those. Curated keywords and entities are kept as ATOMIC phrases: 'rule of law' stays one term, never three.
File: data/index/pilot_sparse.pkl</t>
        </is>
      </c>
    </row>
    <row r="24" ht="15" customHeight="1">
      <c r="A24" s="5" t="inlineStr">
        <is>
          <t>4 · Fusion</t>
        </is>
      </c>
      <c r="B24" s="6" t="inlineStr">
        <is>
          <t>Dense and sparse each rank the chunks; the two rankings are merged (reciprocal rank fusion) so a passage strong on either arm survives. This is why both arms are kept even when the dense model is good.</t>
        </is>
      </c>
    </row>
    <row r="25" ht="24" customHeight="1">
      <c r="A25" s="5" t="inlineStr">
        <is>
          <t>5 · The topic map
(dimensions)</t>
        </is>
      </c>
      <c r="B25" s="6" t="inlineStr">
        <is>
          <t>34 topics, each stored as a CENTROID — the average position of its member chunks in that same 768-d space, plus a label, a description, signature phrases and exemplars. A question is scored against all 34 and the result BIASES the ranking. It is a soft prior, never a filter: if the topic guess is wrong, the right passage can still surface.
Files: data/index/topic_centroids.npy, corpus/voice/topic_map.json</t>
        </is>
      </c>
    </row>
    <row r="26" ht="15" customHeight="1">
      <c r="A26" s="5" t="inlineStr">
        <is>
          <t>6 · The date index</t>
        </is>
      </c>
      <c r="B26" s="6" t="inlineStr">
        <is>
          <t>A lookup from date to document, plus a resolver for phrasing like 'last year'. Built and verified; currently switched off (DATE_INDEX_ENABLED = false) pending a measured decision.</t>
        </is>
      </c>
    </row>
    <row r="27" ht="15" customHeight="1">
      <c r="A27" s="5" t="inlineStr">
        <is>
          <t>Why re-index at all</t>
        </is>
      </c>
      <c r="B27" s="6" t="inlineStr">
        <is>
          <t>An index is a photograph of the corpus at one moment. Add or correct a document and the photograph is stale — the corpus says one thing, the index answers from another. That is why CE-6 re-embeds the WHOLE corpus in one pass after every batch.</t>
        </is>
      </c>
    </row>
    <row r="28" ht="15" customHeight="1">
      <c r="A28" s="7" t="inlineStr">
        <is>
          <t>The pin</t>
        </is>
      </c>
      <c r="B28" s="8" t="inlineStr">
        <is>
          <t>corpus_snapshot.json holds a sha256 for every source file and every row. verify_pin.py fails if anything moved. 'The corpus is frozen' is a claim a script can refuse, not a promise.</t>
        </is>
      </c>
    </row>
    <row r="30" ht="20" customHeight="1">
      <c r="A30" s="3" t="inlineStr">
        <is>
          <t>THE FIVE THEMES</t>
        </is>
      </c>
      <c r="B30" s="4" t="n"/>
    </row>
    <row r="31">
      <c r="A31" s="5" t="inlineStr">
        <is>
          <t>Theme A</t>
        </is>
      </c>
      <c r="B31" s="6" t="inlineStr">
        <is>
          <t>Liberty and Rule of Law — Constitutional doctrine, due process, judicial independence and review, civil liberties, the courts as the last bulwark.</t>
        </is>
      </c>
    </row>
    <row r="32">
      <c r="A32" s="5" t="inlineStr">
        <is>
          <t>Theme B</t>
        </is>
      </c>
      <c r="B32" s="6" t="inlineStr">
        <is>
          <t>Prosperity and Economic Philosophy — Economic governance, business and investment law, MSMEs, social justice as an economic question, the twin-beacons argument on the prosperity side.</t>
        </is>
      </c>
    </row>
    <row r="33">
      <c r="A33" s="5" t="inlineStr">
        <is>
          <t>Theme C</t>
        </is>
      </c>
      <c r="B33" s="6" t="inlineStr">
        <is>
          <t>Biographical and Personal — Early life, family, faith, mentors, friendships, honours — the man rather than the office.</t>
        </is>
      </c>
    </row>
    <row r="34">
      <c r="A34" s="5" t="inlineStr">
        <is>
          <t>Theme D</t>
        </is>
      </c>
      <c r="B34" s="6" t="inlineStr">
        <is>
          <t>FLP Mission and Foundation — The Foundation for Liberty and Prosperity: scholarships, the dissertation contest, donors and partners, the Museum.</t>
        </is>
      </c>
    </row>
    <row r="35">
      <c r="A35" s="5" t="inlineStr">
        <is>
          <t>Theme E</t>
        </is>
      </c>
      <c r="B35" s="6" t="inlineStr">
        <is>
          <t>Current Events Commentary — Time-bound commentary on Philippine political events, elections, geopolitics and topical controversies.</t>
        </is>
      </c>
    </row>
    <row r="36" ht="15" customHeight="1">
      <c r="A36" s="5" t="inlineStr">
        <is>
          <t>How a theme is assigned</t>
        </is>
      </c>
      <c r="B36" s="6" t="inlineStr">
        <is>
          <t>By the intake curator, from the document's own content, and recorded in the doc ID's second letter. A theme is a shelf, not a score — one document, one theme. The 34 TOPICS are a finer, separate layer used for retrieval; do not confuse the two.</t>
        </is>
      </c>
    </row>
    <row r="38" ht="20" customHeight="1">
      <c r="A38" s="3" t="inlineStr">
        <is>
          <t>THE IDENTIFIER</t>
        </is>
      </c>
      <c r="B38" s="4" t="n"/>
    </row>
    <row r="39" ht="15" customHeight="1">
      <c r="A39" s="5" t="inlineStr">
        <is>
          <t>Pattern</t>
        </is>
      </c>
      <c r="B39" s="6" t="inlineStr">
        <is>
          <t>^[CBSG][A-E]\d{3}$   e.g. CA003, BA108, SB028, GC021</t>
        </is>
      </c>
    </row>
    <row r="40" ht="15" customHeight="1">
      <c r="A40" s="5" t="inlineStr">
        <is>
          <t>Position 1 — format</t>
        </is>
      </c>
      <c r="B40" s="6" t="inlineStr">
        <is>
          <t>C column · B book chapter · S speech · G biography</t>
        </is>
      </c>
    </row>
    <row r="41" ht="15" customHeight="1">
      <c r="A41" s="5" t="inlineStr">
        <is>
          <t>Position 2 — theme</t>
        </is>
      </c>
      <c r="B41" s="6" t="inlineStr">
        <is>
          <t>A-E as above</t>
        </is>
      </c>
    </row>
    <row r="42" ht="15" customHeight="1">
      <c r="A42" s="5" t="inlineStr">
        <is>
          <t>Positions 3-5</t>
        </is>
      </c>
      <c r="B42" s="6" t="inlineStr">
        <is>
          <t>A zero-padded number within that format+theme series. It is a POSITION, not a count — CA529 does not mean there are 529 columns.</t>
        </is>
      </c>
    </row>
    <row r="43" ht="15" customHeight="1">
      <c r="A43" s="7" t="inlineStr">
        <is>
          <t>Never reused</t>
        </is>
      </c>
      <c r="B43" s="8" t="inlineStr">
        <is>
          <t>An ID is never reused and never renumbered. A retired ID stays retired in data/csv/retired_doc_ids.csv; a replacement takes a NEW ID and records superseded_doc_id.</t>
        </is>
      </c>
    </row>
    <row r="45" ht="20" customHeight="1">
      <c r="A45" s="3" t="inlineStr">
        <is>
          <t>THE CORPUS TODAY</t>
        </is>
      </c>
      <c r="B45" s="4" t="n"/>
    </row>
    <row r="46" ht="15" customHeight="1">
      <c r="A46" s="5" t="inlineStr">
        <is>
          <t>Live counts</t>
        </is>
      </c>
      <c r="B46" s="6" t="inlineStr">
        <is>
          <t>785 columns · 131 book chapters · 153 speeches · 35 biography chapters = 1104 documents. (Read live from corpus/ when this workbook was generated.)</t>
        </is>
      </c>
    </row>
    <row r="47" ht="15" customHeight="1">
      <c r="A47" s="5" t="inlineStr">
        <is>
          <t>Known gaps</t>
        </is>
      </c>
      <c r="B47" s="6" t="inlineStr">
        <is>
          <t>The column run begins 17 Apr 2011; the Inquirer column actually began 11 Feb 2007, so roughly 222 columns from Feb 2007 - Apr 2011 have never been sourced. Speeches and biography have had no new intake since batch-03.</t>
        </is>
      </c>
    </row>
    <row r="49" ht="20" customHeight="1">
      <c r="A49" s="3" t="inlineStr">
        <is>
          <t>THE RULES THAT MAKE THIS SAFE</t>
        </is>
      </c>
      <c r="B49" s="4" t="n"/>
    </row>
    <row r="50">
      <c r="A50" s="9" t="inlineStr">
        <is>
          <t>•</t>
        </is>
      </c>
      <c r="B50" s="6" t="inlineStr">
        <is>
          <t>APPEND-ONLY. New material is added; existing rows are never mutated. Corrections (CE-17) and retirements (CE-18) are the only exceptions, and each runs as its OWN batch so the diff proves nothing else moved.</t>
        </is>
      </c>
    </row>
    <row r="51">
      <c r="A51" s="9" t="inlineStr">
        <is>
          <t>•</t>
        </is>
      </c>
      <c r="B51" s="6" t="inlineStr">
        <is>
          <t>ONE encoder, ONE dimensionality across the whole corpus. Mixing them is the single failure tuning cannot repair.</t>
        </is>
      </c>
    </row>
    <row r="52">
      <c r="A52" s="9" t="inlineStr">
        <is>
          <t>•</t>
        </is>
      </c>
      <c r="B52" s="6" t="inlineStr">
        <is>
          <t>Matching row counts do NOT prove nothing was lost. Diff content hashes, document by document.</t>
        </is>
      </c>
    </row>
    <row r="53">
      <c r="A53" s="9" t="inlineStr">
        <is>
          <t>•</t>
        </is>
      </c>
      <c r="B53" s="6" t="inlineStr">
        <is>
          <t>Add a topic dimension only from evidence you can point at, and only with a recorded sign-off.</t>
        </is>
      </c>
    </row>
    <row r="54">
      <c r="A54" s="9" t="inlineStr">
        <is>
          <t>•</t>
        </is>
      </c>
      <c r="B54" s="6" t="inlineStr">
        <is>
          <t>New material that never reaches the gold set is material you have not tested.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0"/>
  <sheetViews>
    <sheetView workbookViewId="0">
      <pane ySplit="4" topLeftCell="A5" activePane="bottomLeft" state="frozen"/>
      <selection pane="bottomLeft" activeCell="A1" sqref="A1"/>
    </sheetView>
  </sheetViews>
  <sheetFormatPr baseColWidth="8" defaultRowHeight="15"/>
  <cols>
    <col width="9" customWidth="1" min="1" max="1"/>
    <col width="9" customWidth="1" min="2" max="2"/>
    <col width="34" customWidth="1" min="3" max="3"/>
    <col width="52" customWidth="1" min="4" max="4"/>
    <col width="8" customWidth="1" min="5" max="5"/>
    <col width="20" customWidth="1" min="6" max="6"/>
    <col width="78" customWidth="1" min="7" max="7"/>
    <col width="40" customWidth="1" min="8" max="8"/>
    <col width="14" customWidth="1" min="9" max="9"/>
    <col width="13" customWidth="1" min="10" max="10"/>
    <col width="62" customWidth="1" min="11" max="11"/>
  </cols>
  <sheetData>
    <row r="1">
      <c r="A1" s="10" t="inlineStr">
        <is>
          <t>Whole-project task plan — conversational robot from a written corpus</t>
        </is>
      </c>
    </row>
    <row r="2">
      <c r="A2" s="10" t="inlineStr">
        <is>
          <t>Phases run in dependency order; several overlap. People = how many it takes, not who. Fill Status and Evidence as you go.</t>
        </is>
      </c>
    </row>
    <row r="3">
      <c r="A3" s="11" t="n"/>
    </row>
    <row r="4">
      <c r="A4" s="12" t="inlineStr">
        <is>
          <t>ID</t>
        </is>
      </c>
      <c r="B4" s="12" t="inlineStr">
        <is>
          <t>Phase</t>
        </is>
      </c>
      <c r="C4" s="12" t="inlineStr">
        <is>
          <t>Task</t>
        </is>
      </c>
      <c r="D4" s="12" t="inlineStr">
        <is>
          <t>What it involves</t>
        </is>
      </c>
      <c r="E4" s="12" t="inlineStr">
        <is>
          <t>People</t>
        </is>
      </c>
      <c r="F4" s="12" t="inlineStr">
        <is>
          <t>Who</t>
        </is>
      </c>
      <c r="G4" s="12" t="inlineStr">
        <is>
          <t>How / paste-ready prompt</t>
        </is>
      </c>
      <c r="H4" s="12" t="inlineStr">
        <is>
          <t>Done when</t>
        </is>
      </c>
      <c r="I4" s="12" t="inlineStr">
        <is>
          <t>Depends on</t>
        </is>
      </c>
      <c r="J4" s="12" t="inlineStr">
        <is>
          <t>Status</t>
        </is>
      </c>
      <c r="K4" s="12" t="inlineStr">
        <is>
          <t>Evidence</t>
        </is>
      </c>
    </row>
    <row r="5">
      <c r="A5" s="6" t="inlineStr">
        <is>
          <t>P0 · FRAME THE PROJECT — decisions that are expensive to reverse later</t>
        </is>
      </c>
    </row>
    <row r="6">
      <c r="A6" s="6" t="inlineStr">
        <is>
          <t>P0.1</t>
        </is>
      </c>
      <c r="B6" s="6" t="inlineStr">
        <is>
          <t>P0</t>
        </is>
      </c>
      <c r="C6" s="6" t="inlineStr">
        <is>
          <t>Define the persona and its boundaries</t>
        </is>
      </c>
      <c r="D6" s="6" t="inlineStr">
        <is>
          <t>- Whose voice, drawn from what body of work
- What it may discuss, and what it must decline
- Which subjects need a standing disclaimer
- Where the line sits between education and advice</t>
        </is>
      </c>
      <c r="E6" s="6" t="inlineStr">
        <is>
          <t>2</t>
        </is>
      </c>
      <c r="F6" s="6" t="inlineStr">
        <is>
          <t>Member 3 + Sponsor</t>
        </is>
      </c>
      <c r="G6" s="6" t="inlineStr">
        <is>
          <t>(human decision) Write a one-page persona brief: whose voice, the subject scope in and out, the register it speaks in, and the categories that always carry a disclaimer. Record it in the decisions register with a revisit date.</t>
        </is>
      </c>
      <c r="H6" s="6" t="inlineStr">
        <is>
          <t>A written brief the whole team can quote, not a shared understanding.</t>
        </is>
      </c>
      <c r="I6" s="6" t="inlineStr">
        <is>
          <t>—</t>
        </is>
      </c>
      <c r="J6" s="6" t="inlineStr">
        <is>
          <t>[x] Done</t>
        </is>
      </c>
      <c r="K6" s="6" t="inlineStr">
        <is>
          <t>docs/p0/persona_brief.md. SS4 decided by CJ Panganiban himself (the robot says it is him); SS1-3 record behaviour that has been live since Phase 1. Sponsor counter-signature is a formality outstanding; P7.8 signage now carries the visitor-facing disclosure.</t>
        </is>
      </c>
    </row>
    <row r="7">
      <c r="A7" s="6" t="inlineStr">
        <is>
          <t>P0.2</t>
        </is>
      </c>
      <c r="B7" s="6" t="inlineStr">
        <is>
          <t>P0</t>
        </is>
      </c>
      <c r="C7" s="6" t="inlineStr">
        <is>
          <t>Rights, consent and likeness  — STOP GATE</t>
        </is>
      </c>
      <c r="D7" s="6" t="inlineStr">
        <is>
          <t>- Written permission for the written corpus
- Written, specific consent for any voice clone
- Likeness and naming rights for the robot itself
- Where the consent evidence is filed</t>
        </is>
      </c>
      <c r="E7" s="6" t="inlineStr">
        <is>
          <t>2</t>
        </is>
      </c>
      <c r="F7" s="6" t="inlineStr">
        <is>
          <t>Sponsor + Counsel</t>
        </is>
      </c>
      <c r="G7" s="6" t="inlineStr">
        <is>
          <t>(human gate) Collect and file written permission for the corpus, the voice, and the likeness before any build task starts. Record the file location in the decisions register.</t>
        </is>
      </c>
      <c r="H7" s="6" t="inlineStr">
        <is>
          <t>Consent evidence on file and findable. No corpus work starts before this closes.</t>
        </is>
      </c>
      <c r="I7" s="6" t="inlineStr">
        <is>
          <t>—</t>
        </is>
      </c>
      <c r="J7" s="6" t="inlineStr">
        <is>
          <t>[x] Done</t>
        </is>
      </c>
      <c r="K7" s="6" t="inlineStr">
        <is>
          <t>STOP GATE CLOSED. Counsel approved all six items of docs/p0/consent_evidence_inventory.md on 2026-09-25 - corpus, voice and likeness, with nothing excluded on rights grounds. Clerical: file the approval document in docs/p0/.</t>
        </is>
      </c>
    </row>
    <row r="8">
      <c r="A8" s="6" t="inlineStr">
        <is>
          <t>P0.3</t>
        </is>
      </c>
      <c r="B8" s="6" t="inlineStr">
        <is>
          <t>P0</t>
        </is>
      </c>
      <c r="C8" s="6" t="inlineStr">
        <is>
          <t>Agree the success bar before building</t>
        </is>
      </c>
      <c r="D8" s="6" t="inlineStr">
        <is>
          <t>- Quality: grounding, fabrication ceiling (0), register match
- Latency: what the visitor will tolerate, p50 and p95
- Cost per query and what makes it unaffordable
- Compliance: disclaimer presence, decline behaviour</t>
        </is>
      </c>
      <c r="E8" s="6" t="inlineStr">
        <is>
          <t>2</t>
        </is>
      </c>
      <c r="F8" s="6" t="inlineStr">
        <is>
          <t>Member 3 + Sponsor</t>
        </is>
      </c>
      <c r="G8" s="6" t="inlineStr">
        <is>
          <t>Fill the target column of the Metrics &amp; Gates sheet before implementation starts. Targets set after the numbers are known are not targets.</t>
        </is>
      </c>
      <c r="H8" s="6" t="inlineStr">
        <is>
          <t>Every metric has a target and a named owner.</t>
        </is>
      </c>
      <c r="I8" s="6" t="inlineStr">
        <is>
          <t>P0.1</t>
        </is>
      </c>
      <c r="J8" s="6" t="inlineStr">
        <is>
          <t>[x] Done</t>
        </is>
      </c>
      <c r="K8" s="6" t="inlineStr">
        <is>
          <t>Metrics &amp; Gates sheet; targets scored in CJP_Pilot_Report_W3_5_FINAL_r2.docx (7 GREEN / 2 AMBER).</t>
        </is>
      </c>
    </row>
    <row r="9">
      <c r="A9" s="6" t="inlineStr">
        <is>
          <t>P0.4</t>
        </is>
      </c>
      <c r="B9" s="6" t="inlineStr">
        <is>
          <t>P0</t>
        </is>
      </c>
      <c r="C9" s="6" t="inlineStr">
        <is>
          <t>Risk register and abort conditions</t>
        </is>
      </c>
      <c r="D9" s="6" t="inlineStr">
        <is>
          <t>- What would make this project stop
- What would make a release stop
- Who is allowed to call either</t>
        </is>
      </c>
      <c r="E9" s="6" t="inlineStr">
        <is>
          <t>1</t>
        </is>
      </c>
      <c r="F9" s="6" t="inlineStr">
        <is>
          <t>Member 3</t>
        </is>
      </c>
      <c r="G9" s="6" t="inlineStr">
        <is>
          <t>List the risks with a likelihood, an impact, an owner and a trigger. Include the abort conditions: what result means do not ship.</t>
        </is>
      </c>
      <c r="H9" s="6" t="inlineStr">
        <is>
          <t>Abort conditions written down while everyone is still calm.</t>
        </is>
      </c>
      <c r="I9" s="6" t="inlineStr">
        <is>
          <t>P0.3</t>
        </is>
      </c>
      <c r="J9" s="6" t="inlineStr">
        <is>
          <t>[x] Done</t>
        </is>
      </c>
      <c r="K9" s="6" t="inlineStr">
        <is>
          <t>docs/p0/risk_register.md (25 Sep) - 15 live risks, each evidenced; 4 closed; abort conditions written. Awaiting Member 3 review and Sponsor sign-off on the abort conditions.</t>
        </is>
      </c>
    </row>
    <row r="10">
      <c r="A10" s="6" t="inlineStr">
        <is>
          <t>P0.5</t>
        </is>
      </c>
      <c r="B10" s="6" t="inlineStr">
        <is>
          <t>P0</t>
        </is>
      </c>
      <c r="C10" s="6" t="inlineStr">
        <is>
          <t>Open the decisions register</t>
        </is>
      </c>
      <c r="D10" s="6" t="inlineStr">
        <is>
          <t>- One row per decision: what, why, who ratified, revisit date
- Superseded decisions kept, struck through, never deleted</t>
        </is>
      </c>
      <c r="E10" s="6" t="inlineStr">
        <is>
          <t>1</t>
        </is>
      </c>
      <c r="F10" s="6" t="inlineStr">
        <is>
          <t>Member 3</t>
        </is>
      </c>
      <c r="G10" s="6" t="inlineStr">
        <is>
          <t>Create the decisions register and add P0.1 to P0.4 as its first entries. Every later gate in this plan writes one row here.</t>
        </is>
      </c>
      <c r="H10" s="6" t="inlineStr">
        <is>
          <t>A decision nobody can find was not made.</t>
        </is>
      </c>
      <c r="I10" s="6" t="inlineStr">
        <is>
          <t>—</t>
        </is>
      </c>
      <c r="J10" s="6" t="inlineStr">
        <is>
          <t>[x] Done</t>
        </is>
      </c>
      <c r="K10" s="6" t="inlineStr">
        <is>
          <t>docs/p0/decisions_register.md (25 Sep) - 40+ decisions harvested from the 19 ADRs, the tracker and the September work. 12 rows have no recorded ratifier; D-042 (the persona never says it is an AI) is unratified and material.</t>
        </is>
      </c>
    </row>
    <row r="11">
      <c r="A11" s="6" t="inlineStr">
        <is>
          <t>P1 · SOURCE AND CURATE THE MATERIAL — the ceiling on everything downstream</t>
        </is>
      </c>
    </row>
    <row r="12">
      <c r="A12" s="6" t="inlineStr">
        <is>
          <t>P1.1</t>
        </is>
      </c>
      <c r="B12" s="6" t="inlineStr">
        <is>
          <t>P1</t>
        </is>
      </c>
      <c r="C12" s="6" t="inlineStr">
        <is>
          <t>Inventory the source material</t>
        </is>
      </c>
      <c r="D12" s="6" t="inlineStr">
        <is>
          <t>- List every source: columns, speeches, books, interviews, transcripts
- Volume and date range per source
- Format and condition: clean text, scans, audio
- What is missing that the persona would be expected to know</t>
        </is>
      </c>
      <c r="E12" s="6" t="inlineStr">
        <is>
          <t>1</t>
        </is>
      </c>
      <c r="F12" s="6" t="inlineStr">
        <is>
          <t>Member 2</t>
        </is>
      </c>
      <c r="G12" s="6" t="inlineStr">
        <is>
          <t>Build a source inventory: one row per source with type, item count, date range, format, condition and rights status. Flag the gaps — subjects the persona would be asked about but has no material for.</t>
        </is>
      </c>
      <c r="H12" s="6" t="inlineStr">
        <is>
          <t>The gaps are known before anyone is surprised by them in a demo.</t>
        </is>
      </c>
      <c r="I12" s="6" t="inlineStr">
        <is>
          <t>P0.2</t>
        </is>
      </c>
      <c r="J12" s="6" t="inlineStr">
        <is>
          <t>[x] Done</t>
        </is>
      </c>
      <c r="K12" s="6" t="inlineStr">
        <is>
          <t>docs/p1/source_inventory.csv + source_inventory.md (25 Sep) - 17 sources, counted from the live corpus. GAP FOUND: ~222 columns missing, Feb 2007 - Apr 2011.</t>
        </is>
      </c>
    </row>
    <row r="13">
      <c r="A13" s="6" t="inlineStr">
        <is>
          <t>P1.2</t>
        </is>
      </c>
      <c r="B13" s="6" t="inlineStr">
        <is>
          <t>P1</t>
        </is>
      </c>
      <c r="C13" s="6" t="inlineStr">
        <is>
          <t>Clear rights per source</t>
        </is>
      </c>
      <c r="D13" s="6" t="inlineStr">
        <is>
          <t>- Per-source permission, not a blanket assumption
- Third-party quotes inside the material
- Anything that cannot be used, marked and excluded</t>
        </is>
      </c>
      <c r="E13" s="6" t="inlineStr">
        <is>
          <t>1</t>
        </is>
      </c>
      <c r="F13" s="6" t="inlineStr">
        <is>
          <t>Counsel</t>
        </is>
      </c>
      <c r="G13" s="6" t="inlineStr">
        <is>
          <t>(human gate) Confirm rights source by source and mark anything excluded. Excluded material is removed at this step, not filtered later.</t>
        </is>
      </c>
      <c r="H13" s="6" t="inlineStr">
        <is>
          <t>Every source in the inventory is cleared or removed.</t>
        </is>
      </c>
      <c r="I13" s="6" t="inlineStr">
        <is>
          <t>P1.1</t>
        </is>
      </c>
      <c r="J13" s="6" t="inlineStr">
        <is>
          <t>[x] Done</t>
        </is>
      </c>
      <c r="K13" s="6" t="inlineStr">
        <is>
          <t>Counsel clearance 2026-09-25 covers every source in docs/p1/source_inventory.csv, including the third-party material and the two biographies. No source removed.</t>
        </is>
      </c>
    </row>
    <row r="14">
      <c r="A14" s="6" t="inlineStr">
        <is>
          <t>P1.3</t>
        </is>
      </c>
      <c r="B14" s="6" t="inlineStr">
        <is>
          <t>P1</t>
        </is>
      </c>
      <c r="C14" s="6" t="inlineStr">
        <is>
          <t>Fix the curation schema</t>
        </is>
      </c>
      <c r="D14" s="6" t="inlineStr">
        <is>
          <t>- One row per document, a fixed column set
- Identifier convention that will survive growth
- Fields for keywords, entities, themes, signature phrases, anecdotes
- Encoding and list-field conventions agreed once</t>
        </is>
      </c>
      <c r="E14" s="6" t="inlineStr">
        <is>
          <t>2</t>
        </is>
      </c>
      <c r="F14" s="6" t="inlineStr">
        <is>
          <t>Member 2 + Member 1</t>
        </is>
      </c>
      <c r="G14" s="6" t="inlineStr">
        <is>
          <t>Agree the curation schema and write it down: column names, types, the identifier convention, how list fields are encoded, and the encoding standard. Every later batch validates against this.
FORMATS: source .md -&gt; see tab 'Format · Source .md'. Enriched row (15 fields; biography 14) -&gt; tab 'Format · Enriched row'. Generated corpus files -&gt; tab 'Format · Corpus output'. Themes and IDs -&gt; tab 'Themes &amp; IDs'.</t>
        </is>
      </c>
      <c r="H14" s="6" t="inlineStr">
        <is>
          <t>A schema a script can validate, not a habit.</t>
        </is>
      </c>
      <c r="I14" s="6" t="inlineStr">
        <is>
          <t>P1.1</t>
        </is>
      </c>
      <c r="J14" s="6" t="inlineStr">
        <is>
          <t>[x] Done</t>
        </is>
      </c>
      <c r="K14" s="6" t="inlineStr">
        <is>
          <t>docs/p1/corpus_schema.md (25 Sep) - ID convention, source-file contract, the 15 fields, validator rules. Records the biography 14-vs-15 column deviation.</t>
        </is>
      </c>
    </row>
    <row r="15">
      <c r="A15" s="6" t="inlineStr">
        <is>
          <t>P1.4</t>
        </is>
      </c>
      <c r="B15" s="6" t="inlineStr">
        <is>
          <t>P1</t>
        </is>
      </c>
      <c r="C15" s="6" t="inlineStr">
        <is>
          <t>Curate and digitise</t>
        </is>
      </c>
      <c r="D15" s="6" t="inlineStr">
        <is>
          <t>- Transcribe or OCR what is not already text
- Populate the schema fields per document
- Long-form material: decide what counts as one document
- Spot-check a sample against the original</t>
        </is>
      </c>
      <c r="E15" s="6" t="inlineStr">
        <is>
          <t>2</t>
        </is>
      </c>
      <c r="F15" s="6" t="inlineStr">
        <is>
          <t>Member 2</t>
        </is>
      </c>
      <c r="G15" s="6" t="inlineStr">
        <is>
          <t>Curate the material into the schema. For books and long-form work, record the document-unit decision per item — whole chapter, or chapter split into sections — before anything is chunked.
FORMATS: source .md -&gt; see tab 'Format · Source .md'. Enriched row (15 fields; biography 14) -&gt; tab 'Format · Enriched row'. Generated corpus files -&gt; tab 'Format · Corpus output'. Themes and IDs -&gt; tab 'Themes &amp; IDs'.</t>
        </is>
      </c>
      <c r="H15" s="6" t="inlineStr">
        <is>
          <t>Schema valid, sample verified against source, document units recorded.</t>
        </is>
      </c>
      <c r="I15" s="6" t="inlineStr">
        <is>
          <t>P1.3</t>
        </is>
      </c>
      <c r="J15" s="6" t="inlineStr">
        <is>
          <t>[x] Done</t>
        </is>
      </c>
      <c r="K15" s="6" t="inlineStr">
        <is>
          <t>1,104 corpus docs from 4 pinned sheets + data/text. CAVEAT D-14: the batch-04 book sources are OCR-damaged (batch-03/... d14_rescan_list.json in batch-04/).</t>
        </is>
      </c>
    </row>
    <row r="16">
      <c r="A16" s="6" t="inlineStr">
        <is>
          <t>P1.5</t>
        </is>
      </c>
      <c r="B16" s="6" t="inlineStr">
        <is>
          <t>P1</t>
        </is>
      </c>
      <c r="C16" s="6" t="inlineStr">
        <is>
          <t>Freeze an evaluation subset</t>
        </is>
      </c>
      <c r="D16" s="6" t="inlineStr">
        <is>
          <t>- A small allowlist of document ids used for evaluation
- Balanced for per-theme power, and labelled as such — not 'representative'
- Forced inclusions recorded with the evidence for each
- Frozen and versioned; superseded versions retained</t>
        </is>
      </c>
      <c r="E16" s="6" t="inlineStr">
        <is>
          <t>1</t>
        </is>
      </c>
      <c r="F16" s="6" t="inlineStr">
        <is>
          <t>Member 2</t>
        </is>
      </c>
      <c r="G16" s="6" t="inlineStr">
        <is>
          <t>Freeze an evaluation allowlist of document ids, balanced across themes so each has enough items to score. State plainly what the balance is for. Retain earlier versions rather than overwriting them.</t>
        </is>
      </c>
      <c r="H16" s="6" t="inlineStr">
        <is>
          <t>A frozen, versioned list. It is an evaluation filter, not the input to chunking.</t>
        </is>
      </c>
      <c r="I16" s="6" t="inlineStr">
        <is>
          <t>P1.4</t>
        </is>
      </c>
      <c r="J16" s="6" t="inlineStr">
        <is>
          <t>[x] Done</t>
        </is>
      </c>
      <c r="K16" s="6" t="inlineStr">
        <is>
          <t>reports/pilot-eval subset/pilot_subset_frozen_v4.csv copied into the Final Project Folder 25 Sep (with coverage_table_v4, forced_inclusions_v4, selection_notes_v2). 95 docs, balanced 19 per theme, frozen 2026-06-27.</t>
        </is>
      </c>
    </row>
    <row r="17">
      <c r="A17" s="6" t="inlineStr">
        <is>
          <t>P2 · BUILD THE CORPUS — run on the FULL material, never the evaluation subset</t>
        </is>
      </c>
    </row>
    <row r="18">
      <c r="A18" s="6" t="inlineStr">
        <is>
          <t>P2.1</t>
        </is>
      </c>
      <c r="B18" s="6" t="inlineStr">
        <is>
          <t>P2</t>
        </is>
      </c>
      <c r="C18" s="6" t="inlineStr">
        <is>
          <t>Normalise</t>
        </is>
      </c>
      <c r="D18" s="6" t="inlineStr">
        <is>
          <t>- Encoding repair, quotes and dashes
- List fields parsed safely
- Keyword tokens cased and stripped consistently
- Report what changed and what would not parse</t>
        </is>
      </c>
      <c r="E18" s="6" t="inlineStr">
        <is>
          <t>1</t>
        </is>
      </c>
      <c r="F18" s="6" t="inlineStr">
        <is>
          <t>Member 1</t>
        </is>
      </c>
      <c r="G18" s="6" t="inlineStr">
        <is>
          <t>Write and run a normalisation script over the curated files. Report rows changed and every field that would not parse. Stop on schema violations rather than coercing them away.
FORMATS: source .md -&gt; see tab 'Format · Source .md'. Enriched row (15 fields; biography 14) -&gt; tab 'Format · Enriched row'. Generated corpus files -&gt; tab 'Format · Corpus output'. Themes and IDs -&gt; tab 'Themes &amp; IDs'.</t>
        </is>
      </c>
      <c r="H18" s="6" t="inlineStr">
        <is>
          <t>Encoding clean, schema valid, unparseable fields listed rather than silently dropped.</t>
        </is>
      </c>
      <c r="I18" s="6" t="inlineStr">
        <is>
          <t>P1.4</t>
        </is>
      </c>
      <c r="J18" s="6" t="inlineStr">
        <is>
          <t>[x] Done</t>
        </is>
      </c>
      <c r="K18" s="6" t="inlineStr">
        <is>
          <t>docs/p2/corpus_build_report.md SS P2.1 - mojibake 0, all JSON parses, 1,109/1,109 pinned dates now text YYYY-MM-DD, idempotent. scripts/normalise_curated.py.</t>
        </is>
      </c>
    </row>
    <row r="19">
      <c r="A19" s="6" t="inlineStr">
        <is>
          <t>P2.2</t>
        </is>
      </c>
      <c r="B19" s="6" t="inlineStr">
        <is>
          <t>P2</t>
        </is>
      </c>
      <c r="C19" s="6" t="inlineStr">
        <is>
          <t>Source-aware chunking</t>
        </is>
      </c>
      <c r="D19" s="6" t="inlineStr">
        <is>
          <t>- Short pieces stay whole; long-form splits on headings
- Chunk size and overlap read from config
- Section boundaries and anecdotes preserved
- Run on the full corpus, not the eval subset</t>
        </is>
      </c>
      <c r="E19" s="6" t="inlineStr">
        <is>
          <t>1</t>
        </is>
      </c>
      <c r="F19" s="6" t="inlineStr">
        <is>
          <t>Member 1</t>
        </is>
      </c>
      <c r="G19" s="6" t="inlineStr">
        <is>
          <t>Chunk the full corpus with a heading-aware chunker, all knobs from the config file. Short-form documents stay whole; long-form splits on headings with a small overlap. Report chunk statistics and spot-check boundaries.
FORMATS: source .md -&gt; see tab 'Format · Source .md'. Enriched row (15 fields; biography 14) -&gt; tab 'Format · Enriched row'. Generated corpus files -&gt; tab 'Format · Corpus output'. Themes and IDs -&gt; tab 'Themes &amp; IDs'.</t>
        </is>
      </c>
      <c r="H19" s="6" t="inlineStr">
        <is>
          <t>Full corpus chunked; boundaries and anecdotes verified on a sample.</t>
        </is>
      </c>
      <c r="I19" s="6" t="inlineStr">
        <is>
          <t>P2.1</t>
        </is>
      </c>
      <c r="J19" s="6" t="inlineStr">
        <is>
          <t>[x] Done</t>
        </is>
      </c>
      <c r="K19" s="6" t="inlineStr">
        <is>
          <t>docs/p2/corpus_build_report.md SS P2.2 - 1,104 docs -&gt; 9,804 chunks, band [200,400], overlap 40, 1,330 anecdote chunks whole, 0 retired-doc chunks.</t>
        </is>
      </c>
    </row>
    <row r="20">
      <c r="A20" s="6" t="inlineStr">
        <is>
          <t>P2.3</t>
        </is>
      </c>
      <c r="B20" s="6" t="inlineStr">
        <is>
          <t>P2</t>
        </is>
      </c>
      <c r="C20" s="6" t="inlineStr">
        <is>
          <t>Doc store and chunk index</t>
        </is>
      </c>
      <c r="D20" s="6" t="inlineStr">
        <is>
          <t>- chunk id to document id, with metadata
- Built once, stable across evaluation re-freezes
- Every evaluation document resolves to at least one chunk</t>
        </is>
      </c>
      <c r="E20" s="6" t="inlineStr">
        <is>
          <t>1</t>
        </is>
      </c>
      <c r="F20" s="6" t="inlineStr">
        <is>
          <t>Member 1</t>
        </is>
      </c>
      <c r="G20" s="6" t="inlineStr">
        <is>
          <t>Build the doc store and chunk index once. Verify that every document in the evaluation allowlist resolves to chunks — a missing resolution here is invisible until the eval mysteriously underperforms.
FORMATS: source .md -&gt; see tab 'Format · Source .md'. Enriched row (15 fields; biography 14) -&gt; tab 'Format · Enriched row'. Generated corpus files -&gt; tab 'Format · Corpus output'. Themes and IDs -&gt; tab 'Themes &amp; IDs'.</t>
        </is>
      </c>
      <c r="H20" s="6" t="inlineStr">
        <is>
          <t>Doc store built; allowlist resolution verified at 100%.</t>
        </is>
      </c>
      <c r="I20" s="6" t="inlineStr">
        <is>
          <t>P2.2</t>
        </is>
      </c>
      <c r="J20" s="6" t="inlineStr">
        <is>
          <t>[x] Done</t>
        </is>
      </c>
      <c r="K20" s="6" t="inlineStr">
        <is>
          <t>docs/p2/corpus_build_report.md SS P2.3 - 1,104/1,104 documents resolve to chunks and back; chunk_index and chunks.jsonl identical. ALLOWLIST RESOLUTION 95/95 = 100% against pilot_subset_frozen_v4.csv (checked 25 Sep).</t>
        </is>
      </c>
    </row>
    <row r="21">
      <c r="A21" s="6" t="inlineStr">
        <is>
          <t>P2.4</t>
        </is>
      </c>
      <c r="B21" s="6" t="inlineStr">
        <is>
          <t>P2</t>
        </is>
      </c>
      <c r="C21" s="6" t="inlineStr">
        <is>
          <t>Pin the corpus</t>
        </is>
      </c>
      <c r="D21" s="6" t="inlineStr">
        <is>
          <t>- Per-file and per-row hashes in a snapshot
- A verification script that exits non-zero on drift
- The snapshot committed alongside the corpus</t>
        </is>
      </c>
      <c r="E21" s="6" t="inlineStr">
        <is>
          <t>1</t>
        </is>
      </c>
      <c r="F21" s="6" t="inlineStr">
        <is>
          <t>Member 1</t>
        </is>
      </c>
      <c r="G21" s="6" t="inlineStr">
        <is>
          <t>Write a corpus snapshot with per-file and per-row hashes plus a producer header, and a verify script that fails on any drift. Run it in every later build step.
FORMATS: source .md -&gt; see tab 'Format · Source .md'. Enriched row (15 fields; biography 14) -&gt; tab 'Format · Enriched row'. Generated corpus files -&gt; tab 'Format · Corpus output'. Themes and IDs -&gt; tab 'Themes &amp; IDs'.</t>
        </is>
      </c>
      <c r="H21" s="6" t="inlineStr">
        <is>
          <t>'Frozen corpus' becomes a claim a script can fail on.</t>
        </is>
      </c>
      <c r="I21" s="6" t="inlineStr">
        <is>
          <t>P2.3</t>
        </is>
      </c>
      <c r="J21" s="6" t="inlineStr">
        <is>
          <t>[x] Done</t>
        </is>
      </c>
      <c r="K21" s="6" t="inlineStr">
        <is>
          <t>docs/p2/corpus_build_report.md SS P2.4 - corpus_snapshot.json (1,109 docs / 4 sources); scripts/verify_pin.py PASS exit 0, 25 Sep.</t>
        </is>
      </c>
    </row>
    <row r="22">
      <c r="A22" s="6" t="inlineStr">
        <is>
          <t>P3 · BUILD THE KNOWLEDGE MODEL — the part that decides what the robot can find</t>
        </is>
      </c>
    </row>
    <row r="23">
      <c r="A23" s="6" t="inlineStr">
        <is>
          <t>P3.1</t>
        </is>
      </c>
      <c r="B23" s="6" t="inlineStr">
        <is>
          <t>P3</t>
        </is>
      </c>
      <c r="C23" s="6" t="inlineStr">
        <is>
          <t>Choose and ratify the embedding model  — STOP GATE</t>
        </is>
      </c>
      <c r="D23" s="6" t="inlineStr">
        <is>
          <t>- Shortlist: small local, large local, hosted
- Score on recall, latency, cost, and on-device memory fit
- Weigh data governance: does the query leave your infrastructure
- Ratify before indexing; archive the alternatives with a rollback</t>
        </is>
      </c>
      <c r="E23" s="6" t="inlineStr">
        <is>
          <t>2</t>
        </is>
      </c>
      <c r="F23" s="6" t="inlineStr">
        <is>
          <t>Member 1 → Sponsor</t>
        </is>
      </c>
      <c r="G23" s="6" t="inlineStr">
        <is>
          <t>Run a bake-off across the candidate encoders on the same evaluation set: recall at k, grounding, retrieval latency, memory footprint on the target hardware, and per-call cost. Recommend on evidence; the sponsor ratifies. Record it as a decision.</t>
        </is>
      </c>
      <c r="H23" s="6" t="inlineStr">
        <is>
          <t>One model ratified in writing, alternatives archived with a documented rollback.</t>
        </is>
      </c>
      <c r="I23" s="6" t="inlineStr">
        <is>
          <t>P2.4</t>
        </is>
      </c>
      <c r="J23" s="6" t="inlineStr">
        <is>
          <t>[x] Done</t>
        </is>
      </c>
      <c r="K23" s="6" t="inlineStr">
        <is>
          <t>bge-base-en-v1.5 @768d ratified by the Sponsor at the 4-candidate bake-off; eval/results/arch_baseline_v4_retrieval.json records the anchor verbatim ("embedder = bge-base-en-v1.5, ratified by Dok") with recall_C_baseline. Alternatives archived WITH rollback, not deleted: data/index/_archived_bgelarge_*, _archived_pilotmm_*, bakeoff_bgebase/bgelarge_int8/minilm_*; bakeoff_FINAL_for_dok.md carries the scoring. Ratified before indexing. (verified 26 Sep 2026)</t>
        </is>
      </c>
    </row>
    <row r="24">
      <c r="A24" s="6" t="inlineStr">
        <is>
          <t>P3.2</t>
        </is>
      </c>
      <c r="B24" s="6" t="inlineStr">
        <is>
          <t>P3</t>
        </is>
      </c>
      <c r="C24" s="6" t="inlineStr">
        <is>
          <t>Dense index, resident</t>
        </is>
      </c>
      <c r="D24" s="6" t="inlineStr">
        <is>
          <t>- Embed all chunks with the ratified model
- Load the model once at service start, never per request
- Persist the matrix with provenance: model, dimensionality, corpus hash</t>
        </is>
      </c>
      <c r="E24" s="6" t="inlineStr">
        <is>
          <t>1</t>
        </is>
      </c>
      <c r="F24" s="6" t="inlineStr">
        <is>
          <t>Member 1</t>
        </is>
      </c>
      <c r="G24" s="6" t="inlineStr">
        <is>
          <t>Embed the full corpus with the ratified encoder, keep the model resident, and persist the matrix plus a provenance file recording model id, dimensionality, corpus hash and counts.
FORMATS: source .md -&gt; see tab 'Format · Source .md'. Enriched row (15 fields; biography 14) -&gt; tab 'Format · Enriched row'. Generated corpus files -&gt; tab 'Format · Corpus output'. Themes and IDs -&gt; tab 'Themes &amp; IDs'.</t>
        </is>
      </c>
      <c r="H24" s="6" t="inlineStr">
        <is>
          <t>Index queryable, model resident, provenance recorded.</t>
        </is>
      </c>
      <c r="I24" s="6" t="inlineStr">
        <is>
          <t>P3.1</t>
        </is>
      </c>
      <c r="J24" s="6" t="inlineStr">
        <is>
          <t>[x] Done</t>
        </is>
      </c>
      <c r="K24" s="6" t="inlineStr">
        <is>
          <t>REBUILT 26 Sep 2026 after batch-03 - no longer stale. data/index/corpus_dense.npy = (9804, 768) float32 unit-norm, BAAI/bge-base-en-v1.5, backend cuda_fp32, pilot_parity_sanity "skipped (no prior pilot index)". Provenance in corpus_dense_meta.json: model_id, dim, backend, normalize, batch_size, version_block (torch 2.5.1+cu121 / GTX 1650), n_chunks, build_date, chunk_index_sha256, chunk_ids. Model is a resident singleton (app/embeddings.get_model(), model_load_count stays 1) - loaded once, never per request. Runtime index rebuilt from it by scripts/make_runtime_dense_index.py (1,104 docs / 9,804 chunks).</t>
        </is>
      </c>
    </row>
    <row r="25">
      <c r="A25" s="6" t="inlineStr">
        <is>
          <t>P3.3</t>
        </is>
      </c>
      <c r="B25" s="6" t="inlineStr">
        <is>
          <t>P3</t>
        </is>
      </c>
      <c r="C25" s="6" t="inlineStr">
        <is>
          <t>Topic model — DERIVE the dimensions, then build them</t>
        </is>
      </c>
      <c r="D25" s="6" t="inlineStr">
        <is>
          <t>- Each topic is a centroid: label + description + phrases + exemplars
- Independence check merges near-duplicate topics
- Coverage and orphan census over the full corpus
- Every document tagged with a primary and secondary topic</t>
        </is>
      </c>
      <c r="E25" s="6" t="inlineStr">
        <is>
          <t>2</t>
        </is>
      </c>
      <c r="F25" s="6" t="inlineStr">
        <is>
          <t>Member 1 + Member 2</t>
        </is>
      </c>
      <c r="G25" s="6" t="inlineStr">
        <is>
          <t>Build the topic centroids from scratch over the full corpus. Run the independence check and merge near-duplicate pairs. Report the orphan census — material with no topic above the floor — and tag every document.
FORMATS: source .md -&gt; see tab 'Format · Source .md'. Enriched row (15 fields; biography 14) -&gt; tab 'Format · Enriched row'. Generated corpus files -&gt; tab 'Format · Corpus output'. Themes and IDs -&gt; tab 'Themes &amp; IDs'.</t>
        </is>
      </c>
      <c r="H25" s="6" t="inlineStr">
        <is>
          <t>Topic count, merges, floor and orphan list all reported. Orphans are a finding, not a failure.</t>
        </is>
      </c>
      <c r="I25" s="6" t="inlineStr">
        <is>
          <t>P3.2</t>
        </is>
      </c>
      <c r="J25" s="6" t="inlineStr">
        <is>
          <t>[ ] Not started — reset 26 Sep 2026</t>
        </is>
      </c>
      <c r="K25" s="6" t="inlineStr">
        <is>
          <t>RESET 26 Sep 2026. This row no longer inherits anything. corpus/voice/topic_map.json records corpus_stats.n_docs = 79 (column 64, speech 15, zero books, zero biography), generated 2026-05-25 and never re-derived, so its 35 topics are PRIOR ART and not a baseline. Three are already degenerate at 79 documents (robot_identity_meta 0, honors_received 2, death_penalty_and_echegaray 1) and the first two are byte-identical zero-chunk centroids sharing one gmean fallback. The taxonomy for the 1,290-document corpus is derived from the corpus at CE-7, decided at CE-8, signed off at CE-9 and built into centroids at CE-10. Separately, zero of 1,104 corpus .json carry topic_paths: the pin was taken before apply_topic_paths.py rather than after it, so every regeneration wiped the backfill. The pipeline order is now generate - chunk - embed - map - centroids - tag - apply - snapshot. See the 'Themes &amp; IDs' tab.</t>
        </is>
      </c>
    </row>
    <row r="26">
      <c r="A26" s="6" t="inlineStr">
        <is>
          <t>P3.4</t>
        </is>
      </c>
      <c r="B26" s="6" t="inlineStr">
        <is>
          <t>P3</t>
        </is>
      </c>
      <c r="C26" s="6" t="inlineStr">
        <is>
          <t>Sparse arm</t>
        </is>
      </c>
      <c r="D26" s="6" t="inlineStr">
        <is>
          <t>- Keyword index over full chunk text
- Curated keywords and entities as atomic phrases, never split
- Kept regardless of how good the dense model is</t>
        </is>
      </c>
      <c r="E26" s="6" t="inlineStr">
        <is>
          <t>1</t>
        </is>
      </c>
      <c r="F26" s="6" t="inlineStr">
        <is>
          <t>Member 1</t>
        </is>
      </c>
      <c r="G26" s="6" t="inlineStr">
        <is>
          <t>Build the keyword index over chunk text and load the curated keywords and entities as an atomic-phrase dictionary — multi-word terms stay single terms. Keep this arm whatever the dense model scores: no embedding reliably matches exact identifiers.
FORMATS: source .md -&gt; see tab 'Format · Source .md'. Enriched row (15 fields; biography 14) -&gt; tab 'Format · Enriched row'. Generated corpus files -&gt; tab 'Format · Corpus output'. Themes and IDs -&gt; tab 'Themes &amp; IDs'.</t>
        </is>
      </c>
      <c r="H26" s="6" t="inlineStr">
        <is>
          <t>Exact identifiers — case numbers, dates, amounts, proper nouns — are findable.</t>
        </is>
      </c>
      <c r="I26" s="6" t="inlineStr">
        <is>
          <t>P3.2</t>
        </is>
      </c>
      <c r="J26" s="6" t="inlineStr">
        <is>
          <t>[x] Done</t>
        </is>
      </c>
      <c r="K26" s="6" t="inlineStr">
        <is>
          <t>REBUILT 26 Sep 2026 - no longer stale. data/index/pilot_sparse.pkl, BM25 over full chunk text, n_chunks 9,804 (was 9,865 pre-correction, including the 27 chunks of the 5 retired IDs). Curated keywords and entities kept atomic, never split: 9,497 phrases by provenance (keyword 4,006 / entity 4,854 / case 637) via the shared tokenizer in app/sparse.py. No chunk has zero terms (min doc_len 5). Retained alongside the dense arm as the plan requires. KNOWN DEFECT (CE-13/14, not a blocker): citations are indexed only as full-case-name atomic phrases, and "GR No." vs "G.R." tokenize differently - a bare docket-number query puts the right document at rank 31 of 9,804. Sized in docs/p3/phase6_c3_and_findings_2026-09-26.md.</t>
        </is>
      </c>
    </row>
    <row r="27">
      <c r="A27" s="6" t="inlineStr">
        <is>
          <t>P3.5</t>
        </is>
      </c>
      <c r="B27" s="6" t="inlineStr">
        <is>
          <t>P3</t>
        </is>
      </c>
      <c r="C27" s="6" t="inlineStr">
        <is>
          <t>Date index</t>
        </is>
      </c>
      <c r="D27" s="6" t="inlineStr">
        <is>
          <t>- Dates in document front matter
- A lookup table from date to document
- A resolver for relative temporal phrasing</t>
        </is>
      </c>
      <c r="E27" s="6" t="inlineStr">
        <is>
          <t>1</t>
        </is>
      </c>
      <c r="F27" s="6" t="inlineStr">
        <is>
          <t>Member 1</t>
        </is>
      </c>
      <c r="G27" s="6" t="inlineStr">
        <is>
          <t>Move dates into front matter, build a date index, and write a deterministic resolver for temporal queries. Pass only the current date into the model — do not stuff dates into the payload.
FORMATS: source .md -&gt; see tab 'Format · Source .md'. Enriched row (15 fields; biography 14) -&gt; tab 'Format · Enriched row'. Generated corpus files -&gt; tab 'Format · Corpus output'. Themes and IDs -&gt; tab 'Themes &amp; IDs'.</t>
        </is>
      </c>
      <c r="H27" s="6" t="inlineStr">
        <is>
          <t>Temporal questions resolve by lookup rather than by the model guessing.</t>
        </is>
      </c>
      <c r="I27" s="6" t="inlineStr">
        <is>
          <t>P2.3</t>
        </is>
      </c>
      <c r="J27" s="6" t="inlineStr">
        <is>
          <t>[~] Partial</t>
        </is>
      </c>
      <c r="K27" s="6" t="inlineStr">
        <is>
          <t>BUILT AND VERIFIED, STILL DARK. data/index/date_index.json rebuilt 26 Sep: 1,104 of 1,104 documents dated, 0 undated, precision day for all; sha256 82a550e6... identical before and after rebuild (deterministic). Dates come from the corpus front matter and the index is a date -&gt; document lookup. The relative-temporal resolver EXISTS: temporal_intent() at app/retrieval.py:221. Blocker to Done: config.DATE_INDEX_ENABLED = False, so none of it is live. Measured 26 Sep - enabling it via CJ_DATE_INDEX_ENABLED=1 flips CE-11 row X51 from FAIL to PASS at rank 5 and changes NO other row of the 14. Frozen-40 measurement pending (Phase 7 Part B) before the default is flipped. Note check_date_index.py's NO-REGRESSION GATE still compares against the bge-large arch_baseline_v2.json and mismatches all 40 by construction - batch-05 re-baseline.</t>
        </is>
      </c>
    </row>
    <row r="28">
      <c r="A28" s="6" t="inlineStr">
        <is>
          <t>P3.6</t>
        </is>
      </c>
      <c r="B28" s="6" t="inlineStr">
        <is>
          <t>P3</t>
        </is>
      </c>
      <c r="C28" s="6" t="inlineStr">
        <is>
          <t>Persona card</t>
        </is>
      </c>
      <c r="D28" s="6" t="inlineStr">
        <is>
          <t>- The static prompt: who it is, how it speaks, what it refuses
- Length discipline stated explicitly
- Signature phrases as an optional palette, not a quota
- Written by the person who knows the voice</t>
        </is>
      </c>
      <c r="E28" s="6" t="inlineStr">
        <is>
          <t>2</t>
        </is>
      </c>
      <c r="F28" s="6" t="inlineStr">
        <is>
          <t>Member 2 + Member 3</t>
        </is>
      </c>
      <c r="G28" s="6" t="inlineStr">
        <is>
          <t>Write the persona card: identity, register, length discipline, refusal behaviour and the phrase palette. Keep it static so it can be cached as a prompt prefix.</t>
        </is>
      </c>
      <c r="H28" s="6" t="inlineStr">
        <is>
          <t>One static card, reviewed by someone who knows the real voice.</t>
        </is>
      </c>
      <c r="I28" s="6" t="inlineStr">
        <is>
          <t>P0.1</t>
        </is>
      </c>
      <c r="J28" s="6" t="inlineStr">
        <is>
          <t>[~] Partial</t>
        </is>
      </c>
      <c r="K28" s="6" t="inlineStr">
        <is>
          <t>Card is LIVE - corpus/voice/voice_card.md, 380 lines, loaded verbatim into the cached static prefix at app/answer_pipeline.py:534, so it is sent with every answer. MET: identity, register and refusal behaviour are all stated; length discipline is explicit (SS Length and register guidance - 60-100 words default, 20-40 for simple factual, up to 150 for doctrinal). NOT MET: (1) the opening block is FACTUALLY WRONG since W1.8 - it tells the model Haiku routed the question, that there are "no embeddings, no similarity search, no chunking", and that it received whole documents. The corrected header is staged at docs/p3/voice_card_header_proposed_2026-09-25.md (R-1) and deliberately unapplied until after CE-12 so the composer prefix and the corpus are not changed in the same run. (2) no signature-phrase palette section - one illustrative mention at line 353, not framed as an optional palette. (3) no authorship or review marker anywhere in the file - "written by the person who knows the voice" has not happened; the SME read is P3.6's outstanding item. Applying R-1 also needs a bge-base COMPOSE baseline, which may not exist. The Identity rule section is CORRECT and stays (decision D-042).</t>
        </is>
      </c>
    </row>
    <row r="29">
      <c r="A29" s="6" t="inlineStr">
        <is>
          <t>P4 · RETRIEVAL RUNTIME — deterministic code, zero model calls in this path</t>
        </is>
      </c>
    </row>
    <row r="30">
      <c r="A30" s="6" t="inlineStr">
        <is>
          <t>P4.1</t>
        </is>
      </c>
      <c r="B30" s="6" t="inlineStr">
        <is>
          <t>P4</t>
        </is>
      </c>
      <c r="C30" s="6" t="inlineStr">
        <is>
          <t>One config file for every knob</t>
        </is>
      </c>
      <c r="D30" s="6" t="inlineStr">
        <is>
          <t>- Thresholds, bounds, weights, model ids, timeouts
- No literal tuning values anywhere in the code
- Environment-overridable for bench runs</t>
        </is>
      </c>
      <c r="E30" s="6" t="inlineStr">
        <is>
          <t>1</t>
        </is>
      </c>
      <c r="F30" s="6" t="inlineStr">
        <is>
          <t>Member 1</t>
        </is>
      </c>
      <c r="G30" s="6" t="inlineStr">
        <is>
          <t>Create a single config module holding every tunable knob, so later sweeps vary configuration rather than code. Introduce no new literals from here on.</t>
        </is>
      </c>
      <c r="H30" s="6" t="inlineStr">
        <is>
          <t>A sweep can be run without editing code.</t>
        </is>
      </c>
      <c r="I30" s="6" t="inlineStr">
        <is>
          <t>P2.4</t>
        </is>
      </c>
      <c r="J30" s="6" t="inlineStr">
        <is>
          <t>[x] Done</t>
        </is>
      </c>
      <c r="K30" s="6" t="inlineStr">
        <is>
          <t>config.py - tracker W1.1, ~78+ knobs centralised, env-overridable.</t>
        </is>
      </c>
    </row>
    <row r="31">
      <c r="A31" s="6" t="inlineStr">
        <is>
          <t>P4.2</t>
        </is>
      </c>
      <c r="B31" s="6" t="inlineStr">
        <is>
          <t>P4</t>
        </is>
      </c>
      <c r="C31" s="6" t="inlineStr">
        <is>
          <t>Query embed</t>
        </is>
      </c>
      <c r="D31" s="6" t="inlineStr">
        <is>
          <t>- Same model and dimensionality as the corpus
- Resident, no cold start on first query
- Timed separately — this is usually the dominant retrieval cost</t>
        </is>
      </c>
      <c r="E31" s="6" t="inlineStr">
        <is>
          <t>1</t>
        </is>
      </c>
      <c r="F31" s="6" t="inlineStr">
        <is>
          <t>Member 1</t>
        </is>
      </c>
      <c r="G31" s="6" t="inlineStr">
        <is>
          <t>Embed the query with the same resident model as the corpus. Time it separately from the rest of retrieval.</t>
        </is>
      </c>
      <c r="H31" s="6" t="inlineStr">
        <is>
          <t>No cold start; embed time measured rather than assumed.</t>
        </is>
      </c>
      <c r="I31" s="6" t="inlineStr">
        <is>
          <t>P3.2</t>
        </is>
      </c>
      <c r="J31" s="6" t="inlineStr">
        <is>
          <t>[x] Done</t>
        </is>
      </c>
      <c r="K31" s="6" t="inlineStr">
        <is>
          <t>Tracker W3.8 - embed measured at 535ms (86% of retrieval); model resident, no cold start.</t>
        </is>
      </c>
    </row>
    <row r="32">
      <c r="A32" s="6" t="inlineStr">
        <is>
          <t>P4.3</t>
        </is>
      </c>
      <c r="B32" s="6" t="inlineStr">
        <is>
          <t>P4</t>
        </is>
      </c>
      <c r="C32" s="6" t="inlineStr">
        <is>
          <t>Topic scoring as a soft prior, plus a scope gate</t>
        </is>
      </c>
      <c r="D32" s="6" t="inlineStr">
        <is>
          <t>- Cosine against each centroid, softmaxed to a relevance vector
- An out-of-scope threshold decides in or out
- Theme selection BIASES retrieval and never gates it</t>
        </is>
      </c>
      <c r="E32" s="6" t="inlineStr">
        <is>
          <t>1</t>
        </is>
      </c>
      <c r="F32" s="6" t="inlineStr">
        <is>
          <t>Member 1</t>
        </is>
      </c>
      <c r="G32" s="6" t="inlineStr">
        <is>
          <t>Score the query against the centroids, softmax to a relevance vector, and apply the out-of-scope threshold. The selected theme must bias ranking, never filter candidates — a routing error must not be able to hide the right passage.</t>
        </is>
      </c>
      <c r="H32" s="6" t="inlineStr">
        <is>
          <t>Demonstrably a re-rank, not a filter.</t>
        </is>
      </c>
      <c r="I32" s="6" t="inlineStr">
        <is>
          <t>P3.3, P4.1</t>
        </is>
      </c>
      <c r="J32" s="6" t="inlineStr">
        <is>
          <t>[x] Done</t>
        </is>
      </c>
      <c r="K32" s="6" t="inlineStr">
        <is>
          <t>app/retrieval.py soft prior + scope gate (W1.8); gate calibrated in W3.7, tag arch-baseline-v4.1.</t>
        </is>
      </c>
    </row>
    <row r="33">
      <c r="A33" s="6" t="inlineStr">
        <is>
          <t>P4.4</t>
        </is>
      </c>
      <c r="B33" s="6" t="inlineStr">
        <is>
          <t>P4</t>
        </is>
      </c>
      <c r="C33" s="6" t="inlineStr">
        <is>
          <t>Hybrid fusion</t>
        </is>
      </c>
      <c r="D33" s="6" t="inlineStr">
        <is>
          <t>- Dense and sparse results fused into one ranking
- Topic affinity added as a weighted term
- Global fallback when the topic prior is weak</t>
        </is>
      </c>
      <c r="E33" s="6" t="inlineStr">
        <is>
          <t>1</t>
        </is>
      </c>
      <c r="F33" s="6" t="inlineStr">
        <is>
          <t>Member 1</t>
        </is>
      </c>
      <c r="G33" s="6" t="inlineStr">
        <is>
          <t>Fuse dense and sparse rankings, then add the weighted topic-affinity term. Fall back to global retrieval when the prior is weak — this is what protects orphaned material.</t>
        </is>
      </c>
      <c r="H33" s="6" t="inlineStr">
        <is>
          <t>Orphaned material is still reachable when the topic prior is wrong.</t>
        </is>
      </c>
      <c r="I33" s="6" t="inlineStr">
        <is>
          <t>P4.3, P3.4</t>
        </is>
      </c>
      <c r="J33" s="6" t="inlineStr">
        <is>
          <t>[x] Done</t>
        </is>
      </c>
      <c r="K33" s="6" t="inlineStr">
        <is>
          <t>app/retrieval.py hybrid RRF fusion with weighted topic affinity (W1.8).</t>
        </is>
      </c>
    </row>
    <row r="34">
      <c r="A34" s="6" t="inlineStr">
        <is>
          <t>P4.5</t>
        </is>
      </c>
      <c r="B34" s="6" t="inlineStr">
        <is>
          <t>P4</t>
        </is>
      </c>
      <c r="C34" s="6" t="inlineStr">
        <is>
          <t>Adaptive cutoff</t>
        </is>
      </c>
      <c r="D34" s="6" t="inlineStr">
        <is>
          <t>- Admit chunks by relevance, not a fixed count
- Bounded by a floor and a ceiling
- Start strict; widen only when recall demands it</t>
        </is>
      </c>
      <c r="E34" s="6" t="inlineStr">
        <is>
          <t>1</t>
        </is>
      </c>
      <c r="F34" s="6" t="inlineStr">
        <is>
          <t>Member 1</t>
        </is>
      </c>
      <c r="G34" s="6" t="inlineStr">
        <is>
          <t>Replace a flat top-k with a relevance-based cutoff bounded by a minimum and maximum. Start strict and widen only on recall evidence. Report the median and p95 chunks admitted.</t>
        </is>
      </c>
      <c r="H34" s="6" t="inlineStr">
        <is>
          <t>Chunk count adapts to relevance; the floor is justified by recall, not comfort.</t>
        </is>
      </c>
      <c r="I34" s="6" t="inlineStr">
        <is>
          <t>P4.4</t>
        </is>
      </c>
      <c r="J34" s="6" t="inlineStr">
        <is>
          <t>[x] Done</t>
        </is>
      </c>
      <c r="K34" s="6" t="inlineStr">
        <is>
          <t>Tracker W2.8 - softmax-temp top-p replaced flat top-k; median 9 chunks, -28% input tokens, 0 grounding losses (commit 5750b6e).</t>
        </is>
      </c>
    </row>
    <row r="35">
      <c r="A35" s="6" t="inlineStr">
        <is>
          <t>P4.6</t>
        </is>
      </c>
      <c r="B35" s="6" t="inlineStr">
        <is>
          <t>P4</t>
        </is>
      </c>
      <c r="C35" s="6" t="inlineStr">
        <is>
          <t>Deterministic selection</t>
        </is>
      </c>
      <c r="D35" s="6" t="inlineStr">
        <is>
          <t>- Register chosen by rule from theme and query cues
- Disclaimer template attached by rule, never inferred
- Temporal queries resolved against the date index</t>
        </is>
      </c>
      <c r="E35" s="6" t="inlineStr">
        <is>
          <t>1</t>
        </is>
      </c>
      <c r="F35" s="6" t="inlineStr">
        <is>
          <t>Member 1</t>
        </is>
      </c>
      <c r="G35" s="6" t="inlineStr">
        <is>
          <t>Select the register and any required disclaimer deterministically and tell the model which one applies. The model is informed, not asked to infer.</t>
        </is>
      </c>
      <c r="H35" s="6" t="inlineStr">
        <is>
          <t>Disclaimer presence is a property of the code, not of the model's mood.</t>
        </is>
      </c>
      <c r="I35" s="6" t="inlineStr">
        <is>
          <t>P4.3, P3.5</t>
        </is>
      </c>
      <c r="J35" s="6" t="inlineStr">
        <is>
          <t>[x] Done</t>
        </is>
      </c>
      <c r="K35" s="6" t="inlineStr">
        <is>
          <t>Tracker W2.5 - deterministic register + Theme-A disclaimer selection.</t>
        </is>
      </c>
    </row>
    <row r="36">
      <c r="A36" s="6" t="inlineStr">
        <is>
          <t>P4.7</t>
        </is>
      </c>
      <c r="B36" s="6" t="inlineStr">
        <is>
          <t>P4</t>
        </is>
      </c>
      <c r="C36" s="6" t="inlineStr">
        <is>
          <t>Assemble a slim payload</t>
        </is>
      </c>
      <c r="D36" s="6" t="inlineStr">
        <is>
          <t>- Top-k chunks, never whole documents
- Lean directives only
- Diagnostic fields kept out of the payload</t>
        </is>
      </c>
      <c r="E36" s="6" t="inlineStr">
        <is>
          <t>1</t>
        </is>
      </c>
      <c r="F36" s="6" t="inlineStr">
        <is>
          <t>Member 1</t>
        </is>
      </c>
      <c r="G36" s="6" t="inlineStr">
        <is>
          <t>Assemble the payload from matched chunks plus the minimum directives. Exclude diagnostic metadata. Measure the input-token reduction against the unslimmed baseline.</t>
        </is>
      </c>
      <c r="H36" s="6" t="inlineStr">
        <is>
          <t>Measured token reduction with no grounding loss.</t>
        </is>
      </c>
      <c r="I36" s="6" t="inlineStr">
        <is>
          <t>P4.5, P4.6</t>
        </is>
      </c>
      <c r="J36" s="6" t="inlineStr">
        <is>
          <t>[x] Done</t>
        </is>
      </c>
      <c r="K36" s="6" t="inlineStr">
        <is>
          <t>Tracker W2.2 - -48.8% input tokens on a 9-query probe (commit 0aedbd7).</t>
        </is>
      </c>
    </row>
    <row r="37">
      <c r="A37" s="6" t="inlineStr">
        <is>
          <t>P4.8</t>
        </is>
      </c>
      <c r="B37" s="6" t="inlineStr">
        <is>
          <t>P4</t>
        </is>
      </c>
      <c r="C37" s="6" t="inlineStr">
        <is>
          <t>Prove zero model calls before composition</t>
        </is>
      </c>
      <c r="D37" s="6" t="inlineStr">
        <is>
          <t>- Per-stage timing that counts model round-trips
- An assertion, not an eyeball check
- Any pre-retrieval router removed, not disabled</t>
        </is>
      </c>
      <c r="E37" s="6" t="inlineStr">
        <is>
          <t>1</t>
        </is>
      </c>
      <c r="F37" s="6" t="inlineStr">
        <is>
          <t>Member 1</t>
        </is>
      </c>
      <c r="G37" s="6" t="inlineStr">
        <is>
          <t>Emit per-stage timing including a count of model calls made before composition, and assert it is zero in the baseline run. Remove any pre-retrieval router rather than flagging it off.</t>
        </is>
      </c>
      <c r="H37" s="6" t="inlineStr">
        <is>
          <t>The assertion holds in every baseline run.</t>
        </is>
      </c>
      <c r="I37" s="6" t="inlineStr">
        <is>
          <t>P4.7</t>
        </is>
      </c>
      <c r="J37" s="6" t="inlineStr">
        <is>
          <t>[x] Done</t>
        </is>
      </c>
      <c r="K37" s="6" t="inlineStr">
        <is>
          <t>Tracker W1.8 - llm_calls_before_composition == 0 asserted in every baseline run.</t>
        </is>
      </c>
    </row>
    <row r="38">
      <c r="A38" s="6" t="inlineStr">
        <is>
          <t>P5 · COMPOSITION — one model call, where most of the latency and cost lives</t>
        </is>
      </c>
    </row>
    <row r="39">
      <c r="A39" s="6" t="inlineStr">
        <is>
          <t>P5.1</t>
        </is>
      </c>
      <c r="B39" s="6" t="inlineStr">
        <is>
          <t>P5</t>
        </is>
      </c>
      <c r="C39" s="6" t="inlineStr">
        <is>
          <t>Composer call, streamed</t>
        </is>
      </c>
      <c r="D39" s="6" t="inlineStr">
        <is>
          <t>- Payload plus directives into one call
- Prose streamed to the user as it arrives
- Never wrapped in a structure that must fully arrive first</t>
        </is>
      </c>
      <c r="E39" s="6" t="inlineStr">
        <is>
          <t>1</t>
        </is>
      </c>
      <c r="F39" s="6" t="inlineStr">
        <is>
          <t>Member 1</t>
        </is>
      </c>
      <c r="G39" s="6" t="inlineStr">
        <is>
          <t>Wire the payload into the composition call and stream the prose directly. Do not wrap the visible answer in a structure the client must parse whole — that kills streaming and the visitor feels every millisecond of it.</t>
        </is>
      </c>
      <c r="H39" s="6" t="inlineStr">
        <is>
          <t>First words reach the user while the rest is still generating.</t>
        </is>
      </c>
      <c r="I39" s="6" t="inlineStr">
        <is>
          <t>P4.7, P3.6</t>
        </is>
      </c>
      <c r="J39" s="6" t="inlineStr">
        <is>
          <t>[x] Done</t>
        </is>
      </c>
      <c r="K39" s="6" t="inlineStr">
        <is>
          <t>Tracker W2.1 - streamed composer (commits 4a115e5, 3ef2e05).</t>
        </is>
      </c>
    </row>
    <row r="40">
      <c r="A40" s="6" t="inlineStr">
        <is>
          <t>P5.2</t>
        </is>
      </c>
      <c r="B40" s="6" t="inlineStr">
        <is>
          <t>P5</t>
        </is>
      </c>
      <c r="C40" s="6" t="inlineStr">
        <is>
          <t>Trailing metadata envelope</t>
        </is>
      </c>
      <c r="D40" s="6" t="inlineStr">
        <is>
          <t>- What it cited, which register, which phrases and anecdotes
- Emitted after the prose, never spoken
- The input to the validity gate in P6</t>
        </is>
      </c>
      <c r="E40" s="6" t="inlineStr">
        <is>
          <t>1</t>
        </is>
      </c>
      <c r="F40" s="6" t="inlineStr">
        <is>
          <t>Member 1</t>
        </is>
      </c>
      <c r="G40" s="6" t="inlineStr">
        <is>
          <t>Have the composer append a small metadata block after the prose: documents cited, register used, phrases and anecdotes deployed. It is audited, never read aloud.</t>
        </is>
      </c>
      <c r="H40" s="6" t="inlineStr">
        <is>
          <t>Every answer carries a self-report that can be checked against the payload.</t>
        </is>
      </c>
      <c r="I40" s="6" t="inlineStr">
        <is>
          <t>P5.1</t>
        </is>
      </c>
      <c r="J40" s="6" t="inlineStr">
        <is>
          <t>[x] Done</t>
        </is>
      </c>
      <c r="K40" s="6" t="inlineStr">
        <is>
          <t>Tracker W2.1 - trailing metadata envelope shipped with the composer.</t>
        </is>
      </c>
    </row>
    <row r="41">
      <c r="A41" s="6" t="inlineStr">
        <is>
          <t>P5.3</t>
        </is>
      </c>
      <c r="B41" s="6" t="inlineStr">
        <is>
          <t>P5</t>
        </is>
      </c>
      <c r="C41" s="6" t="inlineStr">
        <is>
          <t>Payload slimming</t>
        </is>
      </c>
      <c r="D41" s="6" t="inlineStr">
        <is>
          <t>- Chunks rather than documents
- Optional palette rather than mandatory phrasing
- Top-k and chunk budget as config parameters</t>
        </is>
      </c>
      <c r="E41" s="6" t="inlineStr">
        <is>
          <t>1</t>
        </is>
      </c>
      <c r="F41" s="6" t="inlineStr">
        <is>
          <t>Member 1</t>
        </is>
      </c>
      <c r="G41" s="6" t="inlineStr">
        <is>
          <t>Slim the payload and measure the input-token change and the grounding change together. Ship the default behaviour-preserving; make the aggressive setting a config flag.</t>
        </is>
      </c>
      <c r="H41" s="6" t="inlineStr">
        <is>
          <t>Token reduction measured with grounding held flat.</t>
        </is>
      </c>
      <c r="I41" s="6" t="inlineStr">
        <is>
          <t>P5.1</t>
        </is>
      </c>
      <c r="J41" s="6" t="inlineStr">
        <is>
          <t>[x] Done</t>
        </is>
      </c>
      <c r="K41" s="6" t="inlineStr">
        <is>
          <t>Tracker W2.2 - w2_2_payload_report.json.</t>
        </is>
      </c>
    </row>
    <row r="42">
      <c r="A42" s="6" t="inlineStr">
        <is>
          <t>P5.4</t>
        </is>
      </c>
      <c r="B42" s="6" t="inlineStr">
        <is>
          <t>P5</t>
        </is>
      </c>
      <c r="C42" s="6" t="inlineStr">
        <is>
          <t>Cache the static prefix</t>
        </is>
      </c>
      <c r="D42" s="6" t="inlineStr">
        <is>
          <t>- Static content first, variable content last
- Prefix large enough to be cacheable at all
- Cached and uncached cost logged separately</t>
        </is>
      </c>
      <c r="E42" s="6" t="inlineStr">
        <is>
          <t>1</t>
        </is>
      </c>
      <c r="F42" s="6" t="inlineStr">
        <is>
          <t>Member 1</t>
        </is>
      </c>
      <c r="G42" s="6" t="inlineStr">
        <is>
          <t>Restructure the prompt so all static content forms one prefix placed first. Confirm it clears the cache minimum size. Log cached and uncached cost separately and report the pilot's actual number honestly — sporadic traffic often means the cache has expired.</t>
        </is>
      </c>
      <c r="H42" s="6" t="inlineStr">
        <is>
          <t>Cache confirmed working; both cost numbers reported, not just the flattering one.</t>
        </is>
      </c>
      <c r="I42" s="6" t="inlineStr">
        <is>
          <t>P5.1</t>
        </is>
      </c>
      <c r="J42" s="6" t="inlineStr">
        <is>
          <t>[x] Done</t>
        </is>
      </c>
      <c r="K42" s="6" t="inlineStr">
        <is>
          <t>Tracker W2.3 - w2_3_cache_report.json; stable cache_read, no leak. Pilot cost quoted UNCACHED.</t>
        </is>
      </c>
    </row>
    <row r="43">
      <c r="A43" s="6" t="inlineStr">
        <is>
          <t>P5.5</t>
        </is>
      </c>
      <c r="B43" s="6" t="inlineStr">
        <is>
          <t>P5</t>
        </is>
      </c>
      <c r="C43" s="6" t="inlineStr">
        <is>
          <t>Output cap and length discipline</t>
        </is>
      </c>
      <c r="D43" s="6" t="inlineStr">
        <is>
          <t>- A hard token cap
- Length instruction in the persona card
- Truncation counted, not assumed to be zero</t>
        </is>
      </c>
      <c r="E43" s="6" t="inlineStr">
        <is>
          <t>1</t>
        </is>
      </c>
      <c r="F43" s="6" t="inlineStr">
        <is>
          <t>Member 1</t>
        </is>
      </c>
      <c r="G43" s="6" t="inlineStr">
        <is>
          <t>Set a maximum output length and give the persona card explicit length discipline. Count truncations across a run — output tokens drive cost and latency as much as input does.</t>
        </is>
      </c>
      <c r="H43" s="6" t="inlineStr">
        <is>
          <t>Cap set with truncations measured at zero, or the cap raised.</t>
        </is>
      </c>
      <c r="I43" s="6" t="inlineStr">
        <is>
          <t>P5.1</t>
        </is>
      </c>
      <c r="J43" s="6" t="inlineStr">
        <is>
          <t>[x] Done</t>
        </is>
      </c>
      <c r="K43" s="6" t="inlineStr">
        <is>
          <t>Tracker W2.1 - COMPOSER_MAX_TOKENS=640, truncations measured at 0.</t>
        </is>
      </c>
    </row>
    <row r="44">
      <c r="A44" s="6" t="inlineStr">
        <is>
          <t>P5.6</t>
        </is>
      </c>
      <c r="B44" s="6" t="inlineStr">
        <is>
          <t>P5</t>
        </is>
      </c>
      <c r="C44" s="6" t="inlineStr">
        <is>
          <t>Timeouts, retries and graceful degradation</t>
        </is>
      </c>
      <c r="D44" s="6" t="inlineStr">
        <is>
          <t>- Request timeout and bounded retries with backoff
- A degradation message in the persona's voice
- Proven by forcing the failure, not by reading the code</t>
        </is>
      </c>
      <c r="E44" s="6" t="inlineStr">
        <is>
          <t>1</t>
        </is>
      </c>
      <c r="F44" s="6" t="inlineStr">
        <is>
          <t>Member 1</t>
        </is>
      </c>
      <c r="G44" s="6" t="inlineStr">
        <is>
          <t>Add timeouts and bounded retries, and a graceful degradation path that stays in voice. Prove it by inducing a failure live rather than by inspection.</t>
        </is>
      </c>
      <c r="H44" s="6" t="inlineStr">
        <is>
          <t>The failure path has actually been run.</t>
        </is>
      </c>
      <c r="I44" s="6" t="inlineStr">
        <is>
          <t>P5.1</t>
        </is>
      </c>
      <c r="J44" s="6" t="inlineStr">
        <is>
          <t>[x] Done</t>
        </is>
      </c>
      <c r="K44" s="6" t="inlineStr">
        <is>
          <t>Tracker W2.1 - timeouts, bounded retries and graceful degradation shipped.</t>
        </is>
      </c>
    </row>
    <row r="45">
      <c r="A45" s="6" t="inlineStr">
        <is>
          <t>P5.7</t>
        </is>
      </c>
      <c r="B45" s="6" t="inlineStr">
        <is>
          <t>P5</t>
        </is>
      </c>
      <c r="C45" s="6" t="inlineStr">
        <is>
          <t>Single-retry fallback, gated</t>
        </is>
      </c>
      <c r="D45" s="6" t="inlineStr">
        <is>
          <t>- Weak retrieval triggers one fuller fetch and one recompose
- Hard cap of one retry
- Fire rate logged and treated as a release gate</t>
        </is>
      </c>
      <c r="E45" s="6" t="inlineStr">
        <is>
          <t>1</t>
        </is>
      </c>
      <c r="F45" s="6" t="inlineStr">
        <is>
          <t>Member 1</t>
        </is>
      </c>
      <c r="G45" s="6" t="inlineStr">
        <is>
          <t>Add a single-retry fallback for weak retrieval, hard-capped at one. Log the fire rate. Above roughly one turn in ten, the fix is upstream — better chunking or a wider initial cutoff — not more fallbacks.</t>
        </is>
      </c>
      <c r="H45" s="6" t="inlineStr">
        <is>
          <t>Cap proven; fire rate logged and gated.</t>
        </is>
      </c>
      <c r="I45" s="6" t="inlineStr">
        <is>
          <t>P5.3</t>
        </is>
      </c>
      <c r="J45" s="6" t="inlineStr">
        <is>
          <t>[~] Partial</t>
        </is>
      </c>
      <c r="K45" s="6" t="inlineStr">
        <is>
          <t>Tracker W2.6 - hard-cap=1 proven, but shipped dark (EXPAND_ON_DEMAND_ENABLED=false).</t>
        </is>
      </c>
    </row>
    <row r="46">
      <c r="A46" s="6" t="inlineStr">
        <is>
          <t>P6 · VALIDITY AND SAFETY GATE — what stops a fluent answer from being a false one</t>
        </is>
      </c>
    </row>
    <row r="47">
      <c r="A47" s="6" t="inlineStr">
        <is>
          <t>P6.1</t>
        </is>
      </c>
      <c r="B47" s="6" t="inlineStr">
        <is>
          <t>P6</t>
        </is>
      </c>
      <c r="C47" s="6" t="inlineStr">
        <is>
          <t>Sentence-level checks</t>
        </is>
      </c>
      <c r="D47" s="6" t="inlineStr">
        <is>
          <t>- Entity correction against the curated dictionary
- Grounding score against the best matching chunk
- Exact tokens — years, amounts, identifiers — must exist in the payload
- Runs on the resident model; no second model, no new call</t>
        </is>
      </c>
      <c r="E47" s="6" t="inlineStr">
        <is>
          <t>1</t>
        </is>
      </c>
      <c r="F47" s="6" t="inlineStr">
        <is>
          <t>Member 1</t>
        </is>
      </c>
      <c r="G47" s="6" t="inlineStr">
        <is>
          <t>Check each sentence as it streams: correct entities from the dictionary, score grounding against the payload using the already-resident encoder, and verify that every exact token literally appears in the payload. Hold anything that fails rather than speaking it.</t>
        </is>
      </c>
      <c r="H47" s="6" t="inlineStr">
        <is>
          <t>Checks run in single-digit milliseconds at zero marginal cost.</t>
        </is>
      </c>
      <c r="I47" s="6" t="inlineStr">
        <is>
          <t>P5.2</t>
        </is>
      </c>
      <c r="J47" s="6" t="inlineStr">
        <is>
          <t>[ ] Not started</t>
        </is>
      </c>
      <c r="K47" s="6" t="inlineStr">
        <is>
          <t>No sentence-level validity module found. Not covered by any tracker row.</t>
        </is>
      </c>
    </row>
    <row r="48">
      <c r="A48" s="6" t="inlineStr">
        <is>
          <t>P6.2</t>
        </is>
      </c>
      <c r="B48" s="6" t="inlineStr">
        <is>
          <t>P6</t>
        </is>
      </c>
      <c r="C48" s="6" t="inlineStr">
        <is>
          <t>Envelope audit</t>
        </is>
      </c>
      <c r="D48" s="6" t="inlineStr">
        <is>
          <t>- Citations must be a subset of what was supplied
- Register matches the directive that was issued
- Phrases and anecdotes traceable to the payload
- Scope: declines when out, does not falsely decline when in</t>
        </is>
      </c>
      <c r="E48" s="6" t="inlineStr">
        <is>
          <t>1</t>
        </is>
      </c>
      <c r="F48" s="6" t="inlineStr">
        <is>
          <t>Member 1</t>
        </is>
      </c>
      <c r="G48" s="6" t="inlineStr">
        <is>
          <t>Audit the metadata envelope against the payload in pure code. Citation containment and scope behaviour are hard failures; register, drift and length are logged only.</t>
        </is>
      </c>
      <c r="H48" s="6" t="inlineStr">
        <is>
          <t>Fabricated citations are caught by containment, not by judgement.</t>
        </is>
      </c>
      <c r="I48" s="6" t="inlineStr">
        <is>
          <t>P5.2</t>
        </is>
      </c>
      <c r="J48" s="6" t="inlineStr">
        <is>
          <t>[ ] Not started</t>
        </is>
      </c>
      <c r="K48" s="6" t="inlineStr">
        <is>
          <t>No envelope audit module found.</t>
        </is>
      </c>
    </row>
    <row r="49">
      <c r="A49" s="6" t="inlineStr">
        <is>
          <t>P6.3</t>
        </is>
      </c>
      <c r="B49" s="6" t="inlineStr">
        <is>
          <t>P6</t>
        </is>
      </c>
      <c r="C49" s="6" t="inlineStr">
        <is>
          <t>Recovery path</t>
        </is>
      </c>
      <c r="D49" s="6" t="inlineStr">
        <is>
          <t>- Stop the unspoken queue before the bad clause is heard
- Play a pre-rendered bridge line
- Recompose once, reusing the existing retry
- Still failing: speak a locked, truthful decline</t>
        </is>
      </c>
      <c r="E49" s="6" t="inlineStr">
        <is>
          <t>1</t>
        </is>
      </c>
      <c r="F49" s="6" t="inlineStr">
        <is>
          <t>Member 1</t>
        </is>
      </c>
      <c r="G49" s="6" t="inlineStr">
        <is>
          <t>Implement one recovery path for both check lanes: halt the unspoken audio, play the cached bridge line, recompose once through the existing fallback, and fall back to a locked truthful-gap decline. Add no second retry loop.</t>
        </is>
      </c>
      <c r="H49" s="6" t="inlineStr">
        <is>
          <t>The visitor hears a graceful pause, never the failed clause.</t>
        </is>
      </c>
      <c r="I49" s="6" t="inlineStr">
        <is>
          <t>P6.1, P6.2, P5.7</t>
        </is>
      </c>
      <c r="J49" s="6" t="inlineStr">
        <is>
          <t>[ ] Not started</t>
        </is>
      </c>
      <c r="K49" s="6" t="inlineStr">
        <is>
          <t>No recovery path evidence found.</t>
        </is>
      </c>
    </row>
    <row r="50">
      <c r="A50" s="6" t="inlineStr">
        <is>
          <t>P6.4</t>
        </is>
      </c>
      <c r="B50" s="6" t="inlineStr">
        <is>
          <t>P6</t>
        </is>
      </c>
      <c r="C50" s="6" t="inlineStr">
        <is>
          <t>Validity record</t>
        </is>
      </c>
      <c r="D50" s="6" t="inlineStr">
        <is>
          <t>- One line per turn with every check result
- Same shape as the existing telemetry
- Feeds the offline eval and the release gate</t>
        </is>
      </c>
      <c r="E50" s="6" t="inlineStr">
        <is>
          <t>1</t>
        </is>
      </c>
      <c r="F50" s="6" t="inlineStr">
        <is>
          <t>Member 1</t>
        </is>
      </c>
      <c r="G50" s="6" t="inlineStr">
        <is>
          <t>Write one structured record per turn carrying all check results and grounding scores, in the same shape as the per-stage telemetry so it joins the existing tables.</t>
        </is>
      </c>
      <c r="H50" s="6" t="inlineStr">
        <is>
          <t>Every turn is auditable after the fact.</t>
        </is>
      </c>
      <c r="I50" s="6" t="inlineStr">
        <is>
          <t>P6.2</t>
        </is>
      </c>
      <c r="J50" s="6" t="inlineStr">
        <is>
          <t>[ ] Not started</t>
        </is>
      </c>
      <c r="K50" s="6" t="inlineStr">
        <is>
          <t>No per-turn validity record found.</t>
        </is>
      </c>
    </row>
    <row r="51">
      <c r="A51" s="6" t="inlineStr">
        <is>
          <t>P6.5</t>
        </is>
      </c>
      <c r="B51" s="6" t="inlineStr">
        <is>
          <t>P6</t>
        </is>
      </c>
      <c r="C51" s="6" t="inlineStr">
        <is>
          <t>Shadow first, calibrate, then enforce</t>
        </is>
      </c>
      <c r="D51" s="6" t="inlineStr">
        <is>
          <t>- Ship logging only, blocking nothing
- Calibrate the floors from real shadow output
- Flip to enforcing behind a flag, reversibly</t>
        </is>
      </c>
      <c r="E51" s="6" t="inlineStr">
        <is>
          <t>2</t>
        </is>
      </c>
      <c r="F51" s="6" t="inlineStr">
        <is>
          <t>Member 1 + Member 2</t>
        </is>
      </c>
      <c r="G51" s="6" t="inlineStr">
        <is>
          <t>Ship the gate in shadow mode so it logs without blocking. Calibrate the thresholds from that output on the bench, then enable enforcement behind a flag. Enforcing on guessed thresholds is how a correct answer gets held.</t>
        </is>
      </c>
      <c r="H51" s="6" t="inlineStr">
        <is>
          <t>Thresholds defensible from data before anything is blocked.</t>
        </is>
      </c>
      <c r="I51" s="6" t="inlineStr">
        <is>
          <t>P6.4</t>
        </is>
      </c>
      <c r="J51" s="6" t="inlineStr">
        <is>
          <t>[ ] Not started</t>
        </is>
      </c>
      <c r="K51" s="6" t="inlineStr">
        <is>
          <t>Depends on P6.4.</t>
        </is>
      </c>
    </row>
    <row r="52">
      <c r="A52" s="6" t="inlineStr">
        <is>
          <t>P6.6</t>
        </is>
      </c>
      <c r="B52" s="6" t="inlineStr">
        <is>
          <t>P6</t>
        </is>
      </c>
      <c r="C52" s="6" t="inlineStr">
        <is>
          <t>Decline and disclaimer wording approved</t>
        </is>
      </c>
      <c r="D52" s="6" t="inlineStr">
        <is>
          <t>- Out-of-scope decline, in voice
- Truthful-gap decline: 'I do not have that' without improvising
- Any standing disclaimer, approved by counsel
- Wording frozen and pre-rendered</t>
        </is>
      </c>
      <c r="E52" s="6" t="inlineStr">
        <is>
          <t>2</t>
        </is>
      </c>
      <c r="F52" s="6" t="inlineStr">
        <is>
          <t>Counsel + Member 2</t>
        </is>
      </c>
      <c r="G52" s="6" t="inlineStr">
        <is>
          <t>Draft the decline and disclaimer wording in the persona's voice and have counsel approve it. Freeze the wording — these lines are pre-rendered and cached, so changing them later means regenerating audio.</t>
        </is>
      </c>
      <c r="H52" s="6" t="inlineStr">
        <is>
          <t>Approved, frozen wording for every refusal the robot can make.</t>
        </is>
      </c>
      <c r="I52" s="6" t="inlineStr">
        <is>
          <t>P0.1</t>
        </is>
      </c>
      <c r="J52" s="6" t="inlineStr">
        <is>
          <t>[~] Partial</t>
        </is>
      </c>
      <c r="K52" s="6" t="inlineStr">
        <is>
          <t>Theme-A disclaimer wording deterministic (W2.5). Counsel sign-off on the decline wording not evidenced.</t>
        </is>
      </c>
    </row>
    <row r="53">
      <c r="A53" s="6" t="inlineStr">
        <is>
          <t>P7 · VOICE AND EMBODIMENT — where the project stops being a pipeline and becomes a robot</t>
        </is>
      </c>
    </row>
    <row r="54">
      <c r="A54" s="6" t="inlineStr">
        <is>
          <t>P7.1</t>
        </is>
      </c>
      <c r="B54" s="6" t="inlineStr">
        <is>
          <t>P7</t>
        </is>
      </c>
      <c r="C54" s="6" t="inlineStr">
        <is>
          <t>Ratify the wake phrase  — STOP GATE, do this first</t>
        </is>
      </c>
      <c r="D54" s="6" t="inlineStr">
        <is>
          <t>- Check how it sounds aloud, in every accent that will use it
- Check what it is NOT: near-misses that must stay silent
- Ratify with the sponsor before any matcher work
- One place in config holds it</t>
        </is>
      </c>
      <c r="E54" s="6" t="inlineStr">
        <is>
          <t>2</t>
        </is>
      </c>
      <c r="F54" s="6" t="inlineStr">
        <is>
          <t>Sponsor + Member 3</t>
        </is>
      </c>
      <c r="G54" s="6" t="inlineStr">
        <is>
          <t>(human decision) Agree the public wake wording and record the ratification with a date. Do this before the matcher is built and long before a bench session is booked — it is cheap now and expensive later.</t>
        </is>
      </c>
      <c r="H54" s="6" t="inlineStr">
        <is>
          <t>Ratified wording recorded, with the near-misses it must not fire on.</t>
        </is>
      </c>
      <c r="I54" s="6" t="inlineStr">
        <is>
          <t>P0.1</t>
        </is>
      </c>
      <c r="J54" s="6" t="inlineStr">
        <is>
          <t>[~] Partial</t>
        </is>
      </c>
      <c r="K54" s="6" t="inlineStr">
        <is>
          <t>'Hey Cee Jap' / 'Cee Jap' ratified by sponsor and counsel 2026-07-27 (tracker WW-2). The config change WAKE-CFG-1 is still pending.</t>
        </is>
      </c>
    </row>
    <row r="55">
      <c r="A55" s="6" t="inlineStr">
        <is>
          <t>P7.2</t>
        </is>
      </c>
      <c r="B55" s="6" t="inlineStr">
        <is>
          <t>P7</t>
        </is>
      </c>
      <c r="C55" s="6" t="inlineStr">
        <is>
          <t>Wake matcher and offline self-test</t>
        </is>
      </c>
      <c r="D55" s="6" t="inlineStr">
        <is>
          <t>- Variant expansion from the one canonical phrase
- Token-level matching with word boundaries; no substring fires
- A committed self-test with explicit accept AND reject sets
- Near-misses in the reject set on purpose</t>
        </is>
      </c>
      <c r="E55" s="6" t="inlineStr">
        <is>
          <t>1</t>
        </is>
      </c>
      <c r="F55" s="6" t="inlineStr">
        <is>
          <t>Member 1</t>
        </is>
      </c>
      <c r="G55" s="6" t="inlineStr">
        <is>
          <t>Build the matcher from the config phrase, expanding variants automatically. Match on token boundaries so no substring can fire. Commit a self-test with an accept set and a reject set of deliberate near-misses. Offline green is not the same as working.</t>
        </is>
      </c>
      <c r="H55" s="6" t="inlineStr">
        <is>
          <t>Self-test passes with every planted near-miss silent.</t>
        </is>
      </c>
      <c r="I55" s="6" t="inlineStr">
        <is>
          <t>P7.1</t>
        </is>
      </c>
      <c r="J55" s="6" t="inlineStr">
        <is>
          <t>[x] Done</t>
        </is>
      </c>
      <c r="K55" s="6" t="inlineStr">
        <is>
          <t>Tracker WW-1 - 24 variants, 10/10 ACCEPT, 8/8 REJECT, boundary-safe.</t>
        </is>
      </c>
    </row>
    <row r="56">
      <c r="A56" s="6" t="inlineStr">
        <is>
          <t>P7.3</t>
        </is>
      </c>
      <c r="B56" s="6" t="inlineStr">
        <is>
          <t>P7</t>
        </is>
      </c>
      <c r="C56" s="6" t="inlineStr">
        <is>
          <t>Speech-to-text and latency attribution</t>
        </is>
      </c>
      <c r="D56" s="6" t="inlineStr">
        <is>
          <t>- Choose the backend; make it switchable in config
- Measure its share of time-to-first-audio
- Local versus hosted: latency against accuracy and privacy</t>
        </is>
      </c>
      <c r="E56" s="6" t="inlineStr">
        <is>
          <t>1</t>
        </is>
      </c>
      <c r="F56" s="6" t="inlineStr">
        <is>
          <t>Member 1</t>
        </is>
      </c>
      <c r="G56" s="6" t="inlineStr">
        <is>
          <t>Wire speech-to-text behind a config switch and attribute its share of end-to-end latency per stage. Expect it to dominate; optimise the dominant term rather than the interesting one.</t>
        </is>
      </c>
      <c r="H56" s="6" t="inlineStr">
        <is>
          <t>Per-stage attribution showing where the seconds actually go.</t>
        </is>
      </c>
      <c r="I56" s="6" t="inlineStr">
        <is>
          <t>P4.2</t>
        </is>
      </c>
      <c r="J56" s="6" t="inlineStr">
        <is>
          <t>[x] Done</t>
        </is>
      </c>
      <c r="K56" s="6" t="inlineStr">
        <is>
          <t>Tracker N-2 - live TTFA measured; ~4s diagnosed as STT-dominant (Whisper).</t>
        </is>
      </c>
    </row>
    <row r="57">
      <c r="A57" s="6" t="inlineStr">
        <is>
          <t>P7.4</t>
        </is>
      </c>
      <c r="B57" s="6" t="inlineStr">
        <is>
          <t>P7</t>
        </is>
      </c>
      <c r="C57" s="6" t="inlineStr">
        <is>
          <t>Speech synthesis and fallback voice</t>
        </is>
      </c>
      <c r="D57" s="6" t="inlineStr">
        <is>
          <t>- The primary voice, with consent evidence on file
- A local fallback voice for outages
- Time-to-first-byte measured with the real voice in the path</t>
        </is>
      </c>
      <c r="E57" s="6" t="inlineStr">
        <is>
          <t>1</t>
        </is>
      </c>
      <c r="F57" s="6" t="inlineStr">
        <is>
          <t>Member 1</t>
        </is>
      </c>
      <c r="G57" s="6" t="inlineStr">
        <is>
          <t>Integrate the synthesis voice and a local fallback. Measure first-byte latency with the production voice in the path — a fallback voice's timings tell you nothing about the real one.</t>
        </is>
      </c>
      <c r="H57" s="6" t="inlineStr">
        <is>
          <t>Both voices working; first-byte latency measured on the real one.</t>
        </is>
      </c>
      <c r="I57" s="6" t="inlineStr">
        <is>
          <t>P0.2</t>
        </is>
      </c>
      <c r="J57" s="6" t="inlineStr">
        <is>
          <t>[~] Partial</t>
        </is>
      </c>
      <c r="K57" s="6" t="inlineStr">
        <is>
          <t>Tracker W2.7 - replay TTFA 2.5s p50; LIVE path partial.</t>
        </is>
      </c>
    </row>
    <row r="58">
      <c r="A58" s="6" t="inlineStr">
        <is>
          <t>P7.5</t>
        </is>
      </c>
      <c r="B58" s="6" t="inlineStr">
        <is>
          <t>P7</t>
        </is>
      </c>
      <c r="C58" s="6" t="inlineStr">
        <is>
          <t>Stream to speech at sentence boundaries</t>
        </is>
      </c>
      <c r="D58" s="6" t="inlineStr">
        <is>
          <t>- Chunk the stream at sentence or clause boundaries, never mid-token
- Confirm the engine accepts incremental input
- Keep an unspoken queue the validity gate can interrupt</t>
        </is>
      </c>
      <c r="E58" s="6" t="inlineStr">
        <is>
          <t>1</t>
        </is>
      </c>
      <c r="F58" s="6" t="inlineStr">
        <is>
          <t>Member 1</t>
        </is>
      </c>
      <c r="G58" s="6" t="inlineStr">
        <is>
          <t>Feed synthesis incrementally, chunked at sentence boundaries, and confirm the engine consumes it incrementally — if it waits for the full text, the entire streaming gain is lost.</t>
        </is>
      </c>
      <c r="H58" s="6" t="inlineStr">
        <is>
          <t>First audio starts while later sentences are still being written.</t>
        </is>
      </c>
      <c r="I58" s="6" t="inlineStr">
        <is>
          <t>P7.4, P5.1</t>
        </is>
      </c>
      <c r="J58" s="6" t="inlineStr">
        <is>
          <t>[~] Partial</t>
        </is>
      </c>
      <c r="K58" s="6" t="inlineStr">
        <is>
          <t>Tracker W2.7 - sentence-boundary streaming built; live measurement incomplete.</t>
        </is>
      </c>
    </row>
    <row r="59">
      <c r="A59" s="6" t="inlineStr">
        <is>
          <t>P7.6</t>
        </is>
      </c>
      <c r="B59" s="6" t="inlineStr">
        <is>
          <t>P7</t>
        </is>
      </c>
      <c r="C59" s="6" t="inlineStr">
        <is>
          <t>Pre-render the fixed lines</t>
        </is>
      </c>
      <c r="D59" s="6" t="inlineStr">
        <is>
          <t>- Fillers, bridges, declines, disclaimers
- Rendered once in the production voice, cached locally
- Instant, free, and identical every time</t>
        </is>
      </c>
      <c r="E59" s="6" t="inlineStr">
        <is>
          <t>2</t>
        </is>
      </c>
      <c r="F59" s="6" t="inlineStr">
        <is>
          <t>Member 1 + Member 2</t>
        </is>
      </c>
      <c r="G59" s="6" t="inlineStr">
        <is>
          <t>Pre-render every fixed line in the production voice and cache them locally. These are the lines that must be instant, and the ones whose wording must never drift.</t>
        </is>
      </c>
      <c r="H59" s="6" t="inlineStr">
        <is>
          <t>Fixed lines play with no network call and no variation.</t>
        </is>
      </c>
      <c r="I59" s="6" t="inlineStr">
        <is>
          <t>P6.6, P7.4</t>
        </is>
      </c>
      <c r="J59" s="6" t="inlineStr">
        <is>
          <t>[ ] Not started</t>
        </is>
      </c>
      <c r="K59" s="6" t="inlineStr">
        <is>
          <t>No cached fixed-line audio set found.</t>
        </is>
      </c>
    </row>
    <row r="60">
      <c r="A60" s="6" t="inlineStr">
        <is>
          <t>P7.7</t>
        </is>
      </c>
      <c r="B60" s="6" t="inlineStr">
        <is>
          <t>P7</t>
        </is>
      </c>
      <c r="C60" s="6" t="inlineStr">
        <is>
          <t>Hardware integration and on-device fit</t>
        </is>
      </c>
      <c r="D60" s="6" t="inlineStr">
        <is>
          <t>- Memory and CPU headroom on the target device
- What runs on-device versus in the cloud, and why
- Thermals and sustained load, not just a cold demo
- Power and uptime behaviour</t>
        </is>
      </c>
      <c r="E60" s="6" t="inlineStr">
        <is>
          <t>2</t>
        </is>
      </c>
      <c r="F60" s="6" t="inlineStr">
        <is>
          <t>Member 1 + Member 3</t>
        </is>
      </c>
      <c r="G60" s="6" t="inlineStr">
        <is>
          <t>Establish what fits on the target hardware: model memory footprint, sustained CPU, thermals under a realistic session, and power draw. Decide per component what runs locally and record the reasoning.</t>
        </is>
      </c>
      <c r="H60" s="6" t="inlineStr">
        <is>
          <t>A measured fit on the real device, not an estimate from a laptop.</t>
        </is>
      </c>
      <c r="I60" s="6" t="inlineStr">
        <is>
          <t>P3.1, P7.5</t>
        </is>
      </c>
      <c r="J60" s="6" t="inlineStr">
        <is>
          <t>[ ] Not started</t>
        </is>
      </c>
      <c r="K60" s="6" t="inlineStr">
        <is>
          <t>No on-device fit report found; measurements so far are from a laptop.</t>
        </is>
      </c>
    </row>
    <row r="61">
      <c r="A61" s="6" t="inlineStr">
        <is>
          <t>P7.8</t>
        </is>
      </c>
      <c r="B61" s="6" t="inlineStr">
        <is>
          <t>P7</t>
        </is>
      </c>
      <c r="C61" s="6" t="inlineStr">
        <is>
          <t>Interaction script and signage</t>
        </is>
      </c>
      <c r="D61" s="6" t="inlineStr">
        <is>
          <t>- What a visitor is told to say, and where they stand
- What happens after the wake word fires
- Signage wording matching the ratified phrase exactly
- A path for 'it did not hear me'</t>
        </is>
      </c>
      <c r="E61" s="6" t="inlineStr">
        <is>
          <t>2</t>
        </is>
      </c>
      <c r="F61" s="6" t="inlineStr">
        <is>
          <t>Member 2 + Member 3</t>
        </is>
      </c>
      <c r="G61" s="6" t="inlineStr">
        <is>
          <t>Write the visitor-facing interaction script and signage, matching the ratified wake phrase word for word, and script the recovery when the robot does not hear.</t>
        </is>
      </c>
      <c r="H61" s="6" t="inlineStr">
        <is>
          <t>A visitor with no briefing can use it.</t>
        </is>
      </c>
      <c r="I61" s="6" t="inlineStr">
        <is>
          <t>P7.1</t>
        </is>
      </c>
      <c r="J61" s="6" t="inlineStr">
        <is>
          <t>[ ] Not started</t>
        </is>
      </c>
      <c r="K61" s="6" t="inlineStr">
        <is>
          <t>Tracker WW-6 OPEN - blocked on the WAKE-CFG-1 grep list.</t>
        </is>
      </c>
    </row>
    <row r="62">
      <c r="A62" s="6" t="inlineStr">
        <is>
          <t>P7.9</t>
        </is>
      </c>
      <c r="B62" s="6" t="inlineStr">
        <is>
          <t>P7</t>
        </is>
      </c>
      <c r="C62" s="6" t="inlineStr">
        <is>
          <t>Live bench pass  — the acceptance gate</t>
        </is>
      </c>
      <c r="D62" s="6" t="inlineStr">
        <is>
          <t>- At least three speakers, accents representative of real visitors
- Near and far distance attempts for each
- A silence soak with planted spoken near-misses
- Misses captured as observed transcripts, never as a loosened matcher</t>
        </is>
      </c>
      <c r="E62" s="6" t="inlineStr">
        <is>
          <t>3</t>
        </is>
      </c>
      <c r="F62" s="6" t="inlineStr">
        <is>
          <t>Member 3 runs · Member 1 supports · 3+ speakers</t>
        </is>
      </c>
      <c r="G62" s="6" t="inlineStr">
        <is>
          <t>Run the live bench: multiple speakers at conversational and kiosk distance, both phrasings, then a false-accept soak. Add variants only from transcripts actually observed, through a reviewed change — never loosen the matcher to make a number.</t>
        </is>
      </c>
      <c r="H62" s="6" t="inlineStr">
        <is>
          <t>Hit rate and zero false accepts hit their targets with real voices in a real room.</t>
        </is>
      </c>
      <c r="I62" s="6" t="inlineStr">
        <is>
          <t>P7.2, P7.8</t>
        </is>
      </c>
      <c r="J62" s="6" t="inlineStr">
        <is>
          <t>[ ] Not started</t>
        </is>
      </c>
      <c r="K62" s="6" t="inlineStr">
        <is>
          <t>Tracker WW-4 READY - awaiting a bench session with mic and speakers in the room.</t>
        </is>
      </c>
    </row>
    <row r="63">
      <c r="A63" s="6" t="inlineStr">
        <is>
          <t>P8 · EVALUATE AND TUNE — the part that makes every claim defensible</t>
        </is>
      </c>
    </row>
    <row r="64">
      <c r="A64" s="6" t="inlineStr">
        <is>
          <t>P8.1</t>
        </is>
      </c>
      <c r="B64" s="6" t="inlineStr">
        <is>
          <t>P8</t>
        </is>
      </c>
      <c r="C64" s="6" t="inlineStr">
        <is>
          <t>Build the gold set</t>
        </is>
      </c>
      <c r="D64" s="6" t="inlineStr">
        <is>
          <t>- Cover grounding, exact identifiers, temporal, out-of-scope, compliance
- Expected documents recorded per question
- Confidence marked where the label is uncertain
- Versioned; frozen copies never overwritten in place</t>
        </is>
      </c>
      <c r="E64" s="6" t="inlineStr">
        <is>
          <t>1</t>
        </is>
      </c>
      <c r="F64" s="6" t="inlineStr">
        <is>
          <t>Member 2</t>
        </is>
      </c>
      <c r="G64" s="6" t="inlineStr">
        <is>
          <t>Build a fixed evaluation set covering every case type, with the expected documents per question and a confidence marker. Version it, and diff by content — matching row counts do not prove content survived.</t>
        </is>
      </c>
      <c r="H64" s="6" t="inlineStr">
        <is>
          <t>A versioned gold set whose labels someone is willing to defend.</t>
        </is>
      </c>
      <c r="I64" s="6" t="inlineStr">
        <is>
          <t>P1.5</t>
        </is>
      </c>
      <c r="J64" s="6" t="inlineStr">
        <is>
          <t>[x] Done</t>
        </is>
      </c>
      <c r="K64" s="6" t="inlineStr">
        <is>
          <t>Tracker W3.1 - eval/results/gold_reference_set.csv, v4-corrected, 40/40 labelled.</t>
        </is>
      </c>
    </row>
    <row r="65">
      <c r="A65" s="6" t="inlineStr">
        <is>
          <t>P8.2</t>
        </is>
      </c>
      <c r="B65" s="6" t="inlineStr">
        <is>
          <t>P8</t>
        </is>
      </c>
      <c r="C65" s="6" t="inlineStr">
        <is>
          <t>Quality evaluation</t>
        </is>
      </c>
      <c r="D65" s="6" t="inlineStr">
        <is>
          <t>- Grounding fidelity across the set
- Fabricated citations counted; the target is zero
- Register and disclaimer compliance
- Misses categorised: retrieval or composition</t>
        </is>
      </c>
      <c r="E65" s="6" t="inlineStr">
        <is>
          <t>2</t>
        </is>
      </c>
      <c r="F65" s="6" t="inlineStr">
        <is>
          <t>Member 1 + Member 2</t>
        </is>
      </c>
      <c r="G65" s="6" t="inlineStr">
        <is>
          <t>Run the gold set and score grounding, fabrication, register and compliance. Categorise every miss as a retrieval failure or a composition failure — they have different fixes and conflating them wastes a sprint.</t>
        </is>
      </c>
      <c r="H65" s="6" t="inlineStr">
        <is>
          <t>Fabrication at zero; misses attributed to a stage.</t>
        </is>
      </c>
      <c r="I65" s="6" t="inlineStr">
        <is>
          <t>P8.1, P6.2</t>
        </is>
      </c>
      <c r="J65" s="6" t="inlineStr">
        <is>
          <t>[x] Done</t>
        </is>
      </c>
      <c r="K65" s="6" t="inlineStr">
        <is>
          <t>Tracker W3.2 - recall@1/5 = 0.735/0.971 (N=34, v4 gold); w3_2_REGRADE_v3_v4gold.json (e18e1d1).</t>
        </is>
      </c>
    </row>
    <row r="66">
      <c r="A66" s="6" t="inlineStr">
        <is>
          <t>P8.3</t>
        </is>
      </c>
      <c r="B66" s="6" t="inlineStr">
        <is>
          <t>P8</t>
        </is>
      </c>
      <c r="C66" s="6" t="inlineStr">
        <is>
          <t>Latency and cost instrumentation</t>
        </is>
      </c>
      <c r="D66" s="6" t="inlineStr">
        <is>
          <t>- Per-stage timing, p50 and p95
- Time to first token and to first audio, measured separately
- Cost split input versus output, cached versus uncached
- Measured warm; cold-start numbers reported separately</t>
        </is>
      </c>
      <c r="E66" s="6" t="inlineStr">
        <is>
          <t>1</t>
        </is>
      </c>
      <c r="F66" s="6" t="inlineStr">
        <is>
          <t>Member 1</t>
        </is>
      </c>
      <c r="G66" s="6" t="inlineStr">
        <is>
          <t>Instrument every stage and report p50 and p95 — the worst-case paths inflate p95, not the median you look at first. Warm the service before measuring, and never quote a cold-start number as steady state.</t>
        </is>
      </c>
      <c r="H66" s="6" t="inlineStr">
        <is>
          <t>Tables that regenerate from telemetry rather than being typed.</t>
        </is>
      </c>
      <c r="I66" s="6" t="inlineStr">
        <is>
          <t>P4.8</t>
        </is>
      </c>
      <c r="J66" s="6" t="inlineStr">
        <is>
          <t>[x] Done</t>
        </is>
      </c>
      <c r="K66" s="6" t="inlineStr">
        <is>
          <t>Tracker W3.8 - 3 measurement tables; scripts/eval_instrumentation.py.</t>
        </is>
      </c>
    </row>
    <row r="67">
      <c r="A67" s="6" t="inlineStr">
        <is>
          <t>P8.4</t>
        </is>
      </c>
      <c r="B67" s="6" t="inlineStr">
        <is>
          <t>P8</t>
        </is>
      </c>
      <c r="C67" s="6" t="inlineStr">
        <is>
          <t>Payload and threshold sweep</t>
        </is>
      </c>
      <c r="D67" s="6" t="inlineStr">
        <is>
          <t>- Vary the cutoff, the bounds, and the output cap together
- Record quality and cost at each point
- Find the knee: cost falls steeply, quality stays flat
- Vary config, never code</t>
        </is>
      </c>
      <c r="E67" s="6" t="inlineStr">
        <is>
          <t>1</t>
        </is>
      </c>
      <c r="F67" s="6" t="inlineStr">
        <is>
          <t>Member 1</t>
        </is>
      </c>
      <c r="G67" s="6" t="inlineStr">
        <is>
          <t>Sweep the relevance threshold, the chunk bounds and the output cap, recording quality, latency and cost at each point. Recommend the knee configuration with the evidence behind it.</t>
        </is>
      </c>
      <c r="H67" s="6" t="inlineStr">
        <is>
          <t>A recommended configuration with the curve that justifies it.</t>
        </is>
      </c>
      <c r="I67" s="6" t="inlineStr">
        <is>
          <t>P8.2, P8.3</t>
        </is>
      </c>
      <c r="J67" s="6" t="inlineStr">
        <is>
          <t>[ ] Not started</t>
        </is>
      </c>
      <c r="K67" s="6" t="inlineStr">
        <is>
          <t>Tracker W3.3 DEFERRED to DEPLOY-1. GO issued with 2 AMBER KPIs.</t>
        </is>
      </c>
    </row>
    <row r="68">
      <c r="A68" s="6" t="inlineStr">
        <is>
          <t>P8.5</t>
        </is>
      </c>
      <c r="B68" s="6" t="inlineStr">
        <is>
          <t>P8</t>
        </is>
      </c>
      <c r="C68" s="6" t="inlineStr">
        <is>
          <t>Fusion and soft-prior tuning</t>
        </is>
      </c>
      <c r="D68" s="6" t="inlineStr">
        <is>
          <t>- Dense versus sparse weighting
- Topic-bias weight and the weak-prior fallback point
- Routing accuracy and recall at k reported separately
- Confirm the soft prior beats a hard gate</t>
        </is>
      </c>
      <c r="E68" s="6" t="inlineStr">
        <is>
          <t>1</t>
        </is>
      </c>
      <c r="F68" s="6" t="inlineStr">
        <is>
          <t>Member 1</t>
        </is>
      </c>
      <c r="G68" s="6" t="inlineStr">
        <is>
          <t>Tune the fusion weighting and the topic-bias term against the gold set. Report routing accuracy and recall at k as separate diagnostics, and confirm that recall stays high even when routing is wrong — that is the whole argument for a prior over a gate.</t>
        </is>
      </c>
      <c r="H68" s="6" t="inlineStr">
        <is>
          <t>Soft prior demonstrated to beat a hard topic gate on the same set.</t>
        </is>
      </c>
      <c r="I68" s="6" t="inlineStr">
        <is>
          <t>P8.2</t>
        </is>
      </c>
      <c r="J68" s="6" t="inlineStr">
        <is>
          <t>[ ] Not started</t>
        </is>
      </c>
      <c r="K68" s="6" t="inlineStr">
        <is>
          <t>Tracker W3.4 DEFERRED to DEPLOY-1; the embedder portion closed via W3.14.</t>
        </is>
      </c>
    </row>
    <row r="69">
      <c r="A69" s="6" t="inlineStr">
        <is>
          <t>P8.6</t>
        </is>
      </c>
      <c r="B69" s="6" t="inlineStr">
        <is>
          <t>P8</t>
        </is>
      </c>
      <c r="C69" s="6" t="inlineStr">
        <is>
          <t>Calibrate the scope gate</t>
        </is>
      </c>
      <c r="D69" s="6" t="inlineStr">
        <is>
          <t>- A labelled set of in-scope and out-of-scope probes
- Find the separation point on real query scores
- Confirm off-domain questions are declined in voice
- Re-check after any corpus change</t>
        </is>
      </c>
      <c r="E69" s="6" t="inlineStr">
        <is>
          <t>2</t>
        </is>
      </c>
      <c r="F69" s="6" t="inlineStr">
        <is>
          <t>Member 1 + Member 2</t>
        </is>
      </c>
      <c r="G69" s="6" t="inlineStr">
        <is>
          <t>Build a labelled in-scope and out-of-scope probe set and calibrate the threshold on real scores. An uncalibrated gate typically means the robot cheerfully answers questions about the weather in the persona's voice.</t>
        </is>
      </c>
      <c r="H69" s="6" t="inlineStr">
        <is>
          <t>Off-domain questions decline; in-scope questions are not falsely refused.</t>
        </is>
      </c>
      <c r="I69" s="6" t="inlineStr">
        <is>
          <t>P8.1</t>
        </is>
      </c>
      <c r="J69" s="6" t="inlineStr">
        <is>
          <t>[x] Done</t>
        </is>
      </c>
      <c r="K69" s="6" t="inlineStr">
        <is>
          <t>Tracker W3.7 - OOS calibration; tag arch-baseline-v4.1 (d806f45).</t>
        </is>
      </c>
    </row>
    <row r="70">
      <c r="A70" s="6" t="inlineStr">
        <is>
          <t>P8.7</t>
        </is>
      </c>
      <c r="B70" s="6" t="inlineStr">
        <is>
          <t>P8</t>
        </is>
      </c>
      <c r="C70" s="6" t="inlineStr">
        <is>
          <t>Blind A/B on answer quality</t>
        </is>
      </c>
      <c r="D70" s="6" t="inlineStr">
        <is>
          <t>- Pair answers from two configurations per question
- Randomise order, blind the source
- Judged by people outside the build
- No judgements pre-filled</t>
        </is>
      </c>
      <c r="E70" s="6" t="inlineStr">
        <is>
          <t>3</t>
        </is>
      </c>
      <c r="F70" s="6" t="inlineStr">
        <is>
          <t>2 assessors + Member 2</t>
        </is>
      </c>
      <c r="G70" s="6" t="inlineStr">
        <is>
          <t>Generate paired answers per question, randomise the order, blind the source column, and hand it to assessors outside the build. Leave the verdict column empty.</t>
        </is>
      </c>
      <c r="H70" s="6" t="inlineStr">
        <is>
          <t>A quality comparison nobody on the build team scored.</t>
        </is>
      </c>
      <c r="I70" s="6" t="inlineStr">
        <is>
          <t>P8.2</t>
        </is>
      </c>
      <c r="J70" s="6" t="inlineStr">
        <is>
          <t>[ ] Not started</t>
        </is>
      </c>
      <c r="K70" s="6" t="inlineStr">
        <is>
          <t>Tracker N-3 READY (~$1.20) - A/B corpus generated, assessors have not scored it.</t>
        </is>
      </c>
    </row>
    <row r="71">
      <c r="A71" s="6" t="inlineStr">
        <is>
          <t>P8.8</t>
        </is>
      </c>
      <c r="B71" s="6" t="inlineStr">
        <is>
          <t>P8</t>
        </is>
      </c>
      <c r="C71" s="6" t="inlineStr">
        <is>
          <t>Baseline tagging discipline</t>
        </is>
      </c>
      <c r="D71" s="6" t="inlineStr">
        <is>
          <t>- Tag a baseline after each architectural change
- Baselines are immutable once tagged
- Only compare like with like across one changed axis
- Provenance recorded per tag</t>
        </is>
      </c>
      <c r="E71" s="6" t="inlineStr">
        <is>
          <t>1</t>
        </is>
      </c>
      <c r="F71" s="6" t="inlineStr">
        <is>
          <t>Member 1</t>
        </is>
      </c>
      <c r="G71" s="6" t="inlineStr">
        <is>
          <t>Tag an annotated baseline after each significant change and record its provenance. Never compare across two changed axes at once and call the difference a result.</t>
        </is>
      </c>
      <c r="H71" s="6" t="inlineStr">
        <is>
          <t>Every quoted number traces to a named, immutable baseline.</t>
        </is>
      </c>
      <c r="I71" s="6" t="inlineStr">
        <is>
          <t>P8.3</t>
        </is>
      </c>
      <c r="J71" s="6" t="inlineStr">
        <is>
          <t>[x] Done</t>
        </is>
      </c>
      <c r="K71" s="6" t="inlineStr">
        <is>
          <t>Tags arch-baseline, -v2, -v3, -v4.1, -v4.2 with provenance artifacts.</t>
        </is>
      </c>
    </row>
    <row r="72">
      <c r="A72" s="6" t="inlineStr">
        <is>
          <t>P9 · DECIDE — the honest conversation the whole plan exists to support</t>
        </is>
      </c>
    </row>
    <row r="73">
      <c r="A73" s="6" t="inlineStr">
        <is>
          <t>P9.1</t>
        </is>
      </c>
      <c r="B73" s="6" t="inlineStr">
        <is>
          <t>P9</t>
        </is>
      </c>
      <c r="C73" s="6" t="inlineStr">
        <is>
          <t>Report against each criterion</t>
        </is>
      </c>
      <c r="D73" s="6" t="inlineStr">
        <is>
          <t>- Result against every target set in P0.3
- Findings and risks stated plainly
- What was measured versus what was estimated
- What is still unverified, named as such</t>
        </is>
      </c>
      <c r="E73" s="6" t="inlineStr">
        <is>
          <t>1</t>
        </is>
      </c>
      <c r="F73" s="6" t="inlineStr">
        <is>
          <t>Member 2</t>
        </is>
      </c>
      <c r="G73" s="6" t="inlineStr">
        <is>
          <t>Write the report as a row per success criterion with the measured result beside the target. Mark unverified items as unverified rather than quietly omitting them.</t>
        </is>
      </c>
      <c r="H73" s="6" t="inlineStr">
        <is>
          <t>A reader can see every target and whether it was met.</t>
        </is>
      </c>
      <c r="I73" s="6" t="inlineStr">
        <is>
          <t>P8.2, P8.3</t>
        </is>
      </c>
      <c r="J73" s="6" t="inlineStr">
        <is>
          <t>[x] Done</t>
        </is>
      </c>
      <c r="K73" s="6" t="inlineStr">
        <is>
          <t>CJP_Pilot_Report_W3_5_FINAL_r2.docx - a row per criterion, 7 GREEN / 2 AMBER.</t>
        </is>
      </c>
    </row>
    <row r="74">
      <c r="A74" s="6" t="inlineStr">
        <is>
          <t>P9.2</t>
        </is>
      </c>
      <c r="B74" s="6" t="inlineStr">
        <is>
          <t>P9</t>
        </is>
      </c>
      <c r="C74" s="6" t="inlineStr">
        <is>
          <t>Go / No-Go  — STOP GATE</t>
        </is>
      </c>
      <c r="D74" s="6" t="inlineStr">
        <is>
          <t>- A recommendation with the evidence attached
- Conditions attached to a conditional go
- The decision recorded with who made it</t>
        </is>
      </c>
      <c r="E74" s="6" t="inlineStr">
        <is>
          <t>2</t>
        </is>
      </c>
      <c r="F74" s="6" t="inlineStr">
        <is>
          <t>Sponsor + Member 3</t>
        </is>
      </c>
      <c r="G74" s="6" t="inlineStr">
        <is>
          <t>(human decision) Take the recommendation and decide. A conditional go names its conditions and who closes them. Record it in the decisions register.</t>
        </is>
      </c>
      <c r="H74" s="6" t="inlineStr">
        <is>
          <t>A decision on the record, with conditions if any.</t>
        </is>
      </c>
      <c r="I74" s="6" t="inlineStr">
        <is>
          <t>P9.1</t>
        </is>
      </c>
      <c r="J74" s="6" t="inlineStr">
        <is>
          <t>[x] Done</t>
        </is>
      </c>
      <c r="K74" s="6" t="inlineStr">
        <is>
          <t>GO recommendation issued with 2 AMBER KPIs; CJP_Readiness_Verdict_Brief.</t>
        </is>
      </c>
    </row>
    <row r="75">
      <c r="A75" s="6" t="inlineStr">
        <is>
          <t>P9.3</t>
        </is>
      </c>
      <c r="B75" s="6" t="inlineStr">
        <is>
          <t>P9</t>
        </is>
      </c>
      <c r="C75" s="6" t="inlineStr">
        <is>
          <t>Close the decision records</t>
        </is>
      </c>
      <c r="D75" s="6" t="inlineStr">
        <is>
          <t>- Every architectural decision written up
- Superseded decisions marked, not deleted
- Open questions carried forward into deployment</t>
        </is>
      </c>
      <c r="E75" s="6" t="inlineStr">
        <is>
          <t>1</t>
        </is>
      </c>
      <c r="F75" s="6" t="inlineStr">
        <is>
          <t>Member 3</t>
        </is>
      </c>
      <c r="G75" s="6" t="inlineStr">
        <is>
          <t>Write up the architectural decisions and mark the superseded ones. Carry the open questions forward as deployment tasks rather than letting them evaporate.</t>
        </is>
      </c>
      <c r="H75" s="6" t="inlineStr">
        <is>
          <t>No decision lives only in someone's memory.</t>
        </is>
      </c>
      <c r="I75" s="6" t="inlineStr">
        <is>
          <t>P9.2</t>
        </is>
      </c>
      <c r="J75" s="6" t="inlineStr">
        <is>
          <t>[ ] Not started</t>
        </is>
      </c>
      <c r="K75" s="6" t="inlineStr">
        <is>
          <t>ADRs exist (docs/decisions/, 19 of them) but the close-out write-up has not been done.</t>
        </is>
      </c>
    </row>
    <row r="76">
      <c r="A76" s="6" t="inlineStr">
        <is>
          <t>P10 · DEPLOY AND OPERATE — the phase most plans forget to write down</t>
        </is>
      </c>
    </row>
    <row r="77">
      <c r="A77" s="6" t="inlineStr">
        <is>
          <t>P10.1</t>
        </is>
      </c>
      <c r="B77" s="6" t="inlineStr">
        <is>
          <t>P10</t>
        </is>
      </c>
      <c r="C77" s="6" t="inlineStr">
        <is>
          <t>Deployment topology</t>
        </is>
      </c>
      <c r="D77" s="6" t="inlineStr">
        <is>
          <t>- What runs on the device, what runs remotely, and why
- Network dependency and behaviour when it fails
- Startup, warm-up and recovery on power loss</t>
        </is>
      </c>
      <c r="E77" s="6" t="inlineStr">
        <is>
          <t>2</t>
        </is>
      </c>
      <c r="F77" s="6" t="inlineStr">
        <is>
          <t>Member 1 + Member 3</t>
        </is>
      </c>
      <c r="G77" s="6" t="inlineStr">
        <is>
          <t>Decide and document the component-by-component topology, including behaviour when the network is unavailable and what happens on power loss. A demo topology is not a deployment topology.</t>
        </is>
      </c>
      <c r="H77" s="6" t="inlineStr">
        <is>
          <t>Documented topology with the offline behaviour specified.</t>
        </is>
      </c>
      <c r="I77" s="6" t="inlineStr">
        <is>
          <t>P7.7, P9.2</t>
        </is>
      </c>
      <c r="J77" s="6" t="inlineStr">
        <is>
          <t>[ ] Not started</t>
        </is>
      </c>
      <c r="K77" s="6" t="inlineStr">
        <is>
          <t>deployment doc</t>
        </is>
      </c>
    </row>
    <row r="78">
      <c r="A78" s="6" t="inlineStr">
        <is>
          <t>P10.2</t>
        </is>
      </c>
      <c r="B78" s="6" t="inlineStr">
        <is>
          <t>P10</t>
        </is>
      </c>
      <c r="C78" s="6" t="inlineStr">
        <is>
          <t>Operator interface</t>
        </is>
      </c>
      <c r="D78" s="6" t="inlineStr">
        <is>
          <t>- A surface for the people who run it, separate from the visitor path
- Configuration, index state, telemetry, run controls
- Access-controlled
- Usable by someone who did not build it</t>
        </is>
      </c>
      <c r="E78" s="6" t="inlineStr">
        <is>
          <t>1</t>
        </is>
      </c>
      <c r="F78" s="6" t="inlineStr">
        <is>
          <t>Member 1</t>
        </is>
      </c>
      <c r="G78" s="6" t="inlineStr">
        <is>
          <t>Build the operator surface separate from the visitor path, access-controlled, showing configuration, index state and live telemetry with the controls an operator needs.</t>
        </is>
      </c>
      <c r="H78" s="6" t="inlineStr">
        <is>
          <t>An operator can diagnose a problem without a developer.</t>
        </is>
      </c>
      <c r="I78" s="6" t="inlineStr">
        <is>
          <t>P10.1</t>
        </is>
      </c>
      <c r="J78" s="6" t="inlineStr">
        <is>
          <t>[ ] Not started</t>
        </is>
      </c>
      <c r="K78" s="6" t="inlineStr">
        <is>
          <t>operator UI</t>
        </is>
      </c>
    </row>
    <row r="79">
      <c r="A79" s="6" t="inlineStr">
        <is>
          <t>P10.3</t>
        </is>
      </c>
      <c r="B79" s="6" t="inlineStr">
        <is>
          <t>P10</t>
        </is>
      </c>
      <c r="C79" s="6" t="inlineStr">
        <is>
          <t>Monitoring and alerting</t>
        </is>
      </c>
      <c r="D79" s="6" t="inlineStr">
        <is>
          <t>- Error rates, fallback fire rates, decline rates
- Latency and cost trending, not just current
- Alerts to a person who will act</t>
        </is>
      </c>
      <c r="E79" s="6" t="inlineStr">
        <is>
          <t>1</t>
        </is>
      </c>
      <c r="F79" s="6" t="inlineStr">
        <is>
          <t>Member 1</t>
        </is>
      </c>
      <c r="G79" s="6" t="inlineStr">
        <is>
          <t>Emit the operational metrics and alert on the ones with a defined response. An alert nobody acts on trains everyone to ignore alerts.</t>
        </is>
      </c>
      <c r="H79" s="6" t="inlineStr">
        <is>
          <t>Each alert has a documented response.</t>
        </is>
      </c>
      <c r="I79" s="6" t="inlineStr">
        <is>
          <t>P10.2</t>
        </is>
      </c>
      <c r="J79" s="6" t="inlineStr">
        <is>
          <t>[ ] Not started</t>
        </is>
      </c>
      <c r="K79" s="6" t="inlineStr">
        <is>
          <t>monitoring config</t>
        </is>
      </c>
    </row>
    <row r="80">
      <c r="A80" s="6" t="inlineStr">
        <is>
          <t>P10.4</t>
        </is>
      </c>
      <c r="B80" s="6" t="inlineStr">
        <is>
          <t>P10</t>
        </is>
      </c>
      <c r="C80" s="6" t="inlineStr">
        <is>
          <t>Spend floor and billing guard</t>
        </is>
      </c>
      <c r="D80" s="6" t="inlineStr">
        <is>
          <t>- A configured minimum balance
- Batch runs refuse to start below it
- A periodic balance check with a clear message</t>
        </is>
      </c>
      <c r="E80" s="6" t="inlineStr">
        <is>
          <t>1</t>
        </is>
      </c>
      <c r="F80" s="6" t="inlineStr">
        <is>
          <t>Member 1</t>
        </is>
      </c>
      <c r="G80" s="6" t="inlineStr">
        <is>
          <t>Add a spend-floor check before any batch run, refusing to start below the threshold with a clear message, plus a periodic balance log. Simulate the low state and confirm the refusal path works.</t>
        </is>
      </c>
      <c r="H80" s="6" t="inlineStr">
        <is>
          <t>Refusal path tested, not assumed.</t>
        </is>
      </c>
      <c r="I80" s="6" t="inlineStr">
        <is>
          <t>P10.3</t>
        </is>
      </c>
      <c r="J80" s="6" t="inlineStr">
        <is>
          <t>[ ] Not started</t>
        </is>
      </c>
      <c r="K80" s="6" t="inlineStr">
        <is>
          <t>Tracker N-5 OPEN - credit-floor alert and billing ping not built.</t>
        </is>
      </c>
    </row>
    <row r="81">
      <c r="A81" s="6" t="inlineStr">
        <is>
          <t>P10.5</t>
        </is>
      </c>
      <c r="B81" s="6" t="inlineStr">
        <is>
          <t>P10</t>
        </is>
      </c>
      <c r="C81" s="6" t="inlineStr">
        <is>
          <t>Evidence durability</t>
        </is>
      </c>
      <c r="D81" s="6" t="inlineStr">
        <is>
          <t>- Every artifact committed and pushed
- Nothing important existing only on one machine
- Content-aware diffs for frozen files</t>
        </is>
      </c>
      <c r="E81" s="6" t="inlineStr">
        <is>
          <t>1</t>
        </is>
      </c>
      <c r="F81" s="6" t="inlineStr">
        <is>
          <t>Member 1</t>
        </is>
      </c>
      <c r="G81" s="6" t="inlineStr">
        <is>
          <t>Commit and push every evidence artifact in grouped, labelled commits and verify the tree is clean. Use content-aware diffs on frozen files — a matching line count has hidden a destroyed file before.</t>
        </is>
      </c>
      <c r="H81" s="6" t="inlineStr">
        <is>
          <t>Nothing critical is local-only.</t>
        </is>
      </c>
      <c r="I81" s="6" t="inlineStr">
        <is>
          <t>P9.3</t>
        </is>
      </c>
      <c r="J81" s="6" t="inlineStr">
        <is>
          <t>[x] Done</t>
        </is>
      </c>
      <c r="K81" s="6" t="inlineStr">
        <is>
          <t>Tracker W3.13 - 5 grouped commits pushed (3eef805..d86e976), tree clean. NOTE: D-6 - the Sept corpus-maintenance work is not yet committed.</t>
        </is>
      </c>
    </row>
    <row r="82">
      <c r="A82" s="6" t="inlineStr">
        <is>
          <t>P10.6</t>
        </is>
      </c>
      <c r="B82" s="6" t="inlineStr">
        <is>
          <t>P10</t>
        </is>
      </c>
      <c r="C82" s="6" t="inlineStr">
        <is>
          <t>Runbooks</t>
        </is>
      </c>
      <c r="D82" s="6" t="inlineStr">
        <is>
          <t>- Start, stop, restart, recover
- Roll back to the previous baseline
- What to do when it answers wrongly in public
- Written for the person on shift, not the author</t>
        </is>
      </c>
      <c r="E82" s="6" t="inlineStr">
        <is>
          <t>1</t>
        </is>
      </c>
      <c r="F82" s="6" t="inlineStr">
        <is>
          <t>Member 3</t>
        </is>
      </c>
      <c r="G82" s="6" t="inlineStr">
        <is>
          <t>Write the operational runbooks including rollback and the response when the robot says something wrong in front of visitors. Rehearse the rollback at least once.</t>
        </is>
      </c>
      <c r="H82" s="6" t="inlineStr">
        <is>
          <t>Rollback has been performed once, not just documented.</t>
        </is>
      </c>
      <c r="I82" s="6" t="inlineStr">
        <is>
          <t>P10.1</t>
        </is>
      </c>
      <c r="J82" s="6" t="inlineStr">
        <is>
          <t>[ ] Not started</t>
        </is>
      </c>
      <c r="K82" s="6" t="inlineStr">
        <is>
          <t>runbooks</t>
        </is>
      </c>
    </row>
    <row r="83">
      <c r="A83" s="6" t="inlineStr">
        <is>
          <t>P10.7</t>
        </is>
      </c>
      <c r="B83" s="6" t="inlineStr">
        <is>
          <t>P10</t>
        </is>
      </c>
      <c r="C83" s="6" t="inlineStr">
        <is>
          <t>Handover and training</t>
        </is>
      </c>
      <c r="D83" s="6" t="inlineStr">
        <is>
          <t>- Walk the operating team through the runbooks
- Show them the operator interface on the real device
- Name who owns what after handover</t>
        </is>
      </c>
      <c r="E83" s="6" t="inlineStr">
        <is>
          <t>2</t>
        </is>
      </c>
      <c r="F83" s="6" t="inlineStr">
        <is>
          <t>Member 3 + Member 2</t>
        </is>
      </c>
      <c r="G83" s="6" t="inlineStr">
        <is>
          <t>Train the operating team on the real device, walk the runbooks with them, and record who owns which responsibility afterwards.</t>
        </is>
      </c>
      <c r="H83" s="6" t="inlineStr">
        <is>
          <t>The operating team can run a day without the build team.</t>
        </is>
      </c>
      <c r="I83" s="6" t="inlineStr">
        <is>
          <t>P10.6</t>
        </is>
      </c>
      <c r="J83" s="6" t="inlineStr">
        <is>
          <t>[ ] Not started</t>
        </is>
      </c>
      <c r="K83" s="6" t="inlineStr">
        <is>
          <t>handover record</t>
        </is>
      </c>
    </row>
    <row r="84">
      <c r="A84" s="6" t="inlineStr">
        <is>
          <t>P10.8</t>
        </is>
      </c>
      <c r="B84" s="6" t="inlineStr">
        <is>
          <t>P10</t>
        </is>
      </c>
      <c r="C84" s="6" t="inlineStr">
        <is>
          <t>Review cadence</t>
        </is>
      </c>
      <c r="D84" s="6" t="inlineStr">
        <is>
          <t>- A standing review of logs, declines and misses
- A route for visitor-reported problems
- A trigger for re-evaluation</t>
        </is>
      </c>
      <c r="E84" s="6" t="inlineStr">
        <is>
          <t>1</t>
        </is>
      </c>
      <c r="F84" s="6" t="inlineStr">
        <is>
          <t>Member 3</t>
        </is>
      </c>
      <c r="G84" s="6" t="inlineStr">
        <is>
          <t>Set a standing review of the validity log, declines and reported misses, with a defined trigger for re-running the evaluation.</t>
        </is>
      </c>
      <c r="H84" s="6" t="inlineStr">
        <is>
          <t>Problems surface on a schedule rather than at the next demo.</t>
        </is>
      </c>
      <c r="I84" s="6" t="inlineStr">
        <is>
          <t>P10.7</t>
        </is>
      </c>
      <c r="J84" s="6" t="inlineStr">
        <is>
          <t>[ ] Not started</t>
        </is>
      </c>
      <c r="K84" s="6" t="inlineStr">
        <is>
          <t>review cadence note</t>
        </is>
      </c>
    </row>
    <row r="85">
      <c r="A85" s="6" t="inlineStr">
        <is>
          <t>P11 · GROW THE KNOWLEDGE — recurring; the detailed steps live on the Corpus Expansion sheet</t>
        </is>
      </c>
    </row>
    <row r="86">
      <c r="A86" s="6" t="inlineStr">
        <is>
          <t>P11.1</t>
        </is>
      </c>
      <c r="B86" s="6" t="inlineStr">
        <is>
          <t>P11</t>
        </is>
      </c>
      <c r="C86" s="6" t="inlineStr">
        <is>
          <t>Standing intake cadence</t>
        </is>
      </c>
      <c r="D86" s="6" t="inlineStr">
        <is>
          <t>- How often new material is accepted
- Who curates it and to what schema
- Batched, never trickled in one document at a time</t>
        </is>
      </c>
      <c r="E86" s="6" t="inlineStr">
        <is>
          <t>1</t>
        </is>
      </c>
      <c r="F86" s="6" t="inlineStr">
        <is>
          <t>Member 2</t>
        </is>
      </c>
      <c r="G86" s="6" t="inlineStr">
        <is>
          <t>Agree the intake cadence and batch size. Every batch runs the full expansion runbook — trickling single documents in creates state nobody can reproduce.</t>
        </is>
      </c>
      <c r="H86" s="6" t="inlineStr">
        <is>
          <t>A predictable batch rhythm rather than ad-hoc additions.</t>
        </is>
      </c>
      <c r="I86" s="6" t="inlineStr">
        <is>
          <t>P10.8</t>
        </is>
      </c>
      <c r="J86" s="6" t="inlineStr">
        <is>
          <t>[ ] Not started</t>
        </is>
      </c>
      <c r="K86" s="6" t="inlineStr">
        <is>
          <t>Cadence not agreed; batches so far are ad hoc (batch-02, -03, -04).</t>
        </is>
      </c>
    </row>
    <row r="87">
      <c r="A87" s="6" t="inlineStr">
        <is>
          <t>P11.2</t>
        </is>
      </c>
      <c r="B87" s="6" t="inlineStr">
        <is>
          <t>P11</t>
        </is>
      </c>
      <c r="C87" s="6" t="inlineStr">
        <is>
          <t>Mine the query log for gaps</t>
        </is>
      </c>
      <c r="D87" s="6" t="inlineStr">
        <is>
          <t>- Questions that declined but should not have
- Questions answered thinly
- Recurring subjects with no matching material</t>
        </is>
      </c>
      <c r="E87" s="6" t="inlineStr">
        <is>
          <t>1</t>
        </is>
      </c>
      <c r="F87" s="6" t="inlineStr">
        <is>
          <t>Member 2</t>
        </is>
      </c>
      <c r="G87" s="6" t="inlineStr">
        <is>
          <t>Review the query and validity logs for false declines, thin answers and recurring subjects with no material. This is the evidence that justifies new material or a new topic dimension.</t>
        </is>
      </c>
      <c r="H87" s="6" t="inlineStr">
        <is>
          <t>Gaps evidenced from real questions, not guessed at.</t>
        </is>
      </c>
      <c r="I87" s="6" t="inlineStr">
        <is>
          <t>P10.3</t>
        </is>
      </c>
      <c r="J87" s="6" t="inlineStr">
        <is>
          <t>[ ] Not started</t>
        </is>
      </c>
      <c r="K87" s="6" t="inlineStr">
        <is>
          <t>No query log mining yet.</t>
        </is>
      </c>
    </row>
    <row r="88">
      <c r="A88" s="6" t="inlineStr">
        <is>
          <t>P11.3</t>
        </is>
      </c>
      <c r="B88" s="6" t="inlineStr">
        <is>
          <t>P11</t>
        </is>
      </c>
      <c r="C88" s="6" t="inlineStr">
        <is>
          <t>Taxonomy expansion, gated</t>
        </is>
      </c>
      <c r="D88" s="6" t="inlineStr">
        <is>
          <t>- Candidate dimensions with per-dimension evidence
- Rejected if a rephrase of an existing dimension
- Sponsor sign-off before any centroid changes</t>
        </is>
      </c>
      <c r="E88" s="6" t="inlineStr">
        <is>
          <t>3</t>
        </is>
      </c>
      <c r="F88" s="6" t="inlineStr">
        <is>
          <t>Member 2 + Member 1 → Sponsor</t>
        </is>
      </c>
      <c r="G88" s="6" t="inlineStr">
        <is>
          <t>Propose new topic dimensions only from recorded evidence, test each against existing centroids for duplication, and obtain sign-off before changing anything. See CE-9 on the Corpus Expansion sheet.</t>
        </is>
      </c>
      <c r="H88" s="6" t="inlineStr">
        <is>
          <t>No dimension added without evidence and a signature.</t>
        </is>
      </c>
      <c r="I88" s="6" t="inlineStr">
        <is>
          <t>P11.2</t>
        </is>
      </c>
      <c r="J88" s="6" t="inlineStr">
        <is>
          <t>[ ] Not started</t>
        </is>
      </c>
      <c r="K88" s="6" t="inlineStr">
        <is>
          <t>Tracker OPS-3 AWAITING - unblocked, pending expansion proposals and human sign-off.</t>
        </is>
      </c>
    </row>
    <row r="89">
      <c r="A89" s="6" t="inlineStr">
        <is>
          <t>P11.4</t>
        </is>
      </c>
      <c r="B89" s="6" t="inlineStr">
        <is>
          <t>P11</t>
        </is>
      </c>
      <c r="C89" s="6" t="inlineStr">
        <is>
          <t>Periodic re-evaluation and re-baseline</t>
        </is>
      </c>
      <c r="D89" s="6" t="inlineStr">
        <is>
          <t>- Re-run the gold set after every corpus change
- Compare against the standing baseline, not a memory
- Re-tag only after attestation</t>
        </is>
      </c>
      <c r="E89" s="6" t="inlineStr">
        <is>
          <t>2</t>
        </is>
      </c>
      <c r="F89" s="6" t="inlineStr">
        <is>
          <t>Member 1 + Member 3</t>
        </is>
      </c>
      <c r="G89" s="6" t="inlineStr">
        <is>
          <t>Re-run the evaluation after each expansion, compare against the standing baseline and promote only after attestation. See CE-12 to CE-14.</t>
        </is>
      </c>
      <c r="H89" s="6" t="inlineStr">
        <is>
          <t>Quality is re-proved after every change, not assumed to hold.</t>
        </is>
      </c>
      <c r="I89" s="6" t="inlineStr">
        <is>
          <t>P11.1</t>
        </is>
      </c>
      <c r="J89" s="6" t="inlineStr">
        <is>
          <t>[~] Partial</t>
        </is>
      </c>
      <c r="K89" s="6" t="inlineStr">
        <is>
          <t>Done once for batch-02 (OPS-2, arch-baseline-v4.2). Not yet a standing practice; batch-03 re-eval is CE-11..CE-14, still to run.</t>
        </is>
      </c>
    </row>
    <row r="90">
      <c r="A90" s="12" t="inlineStr">
        <is>
          <t>Role key:  Member 1 = implementation  ·  Member 2 = corpus, evaluation &amp; documents  ·  Member 3 = project lead  ·  Sponsor = ratifies decisions that are expensive to reverse  ·  Counsel = rights, consent and spoken legal wording  ·  Assessors = blind quality judges from outside the build.</t>
        </is>
      </c>
      <c r="B90" s="13" t="n"/>
      <c r="C90" s="13" t="n"/>
      <c r="D90" s="13" t="n"/>
      <c r="E90" s="13" t="n"/>
      <c r="F90" s="13" t="n"/>
      <c r="G90" s="13" t="n"/>
      <c r="H90" s="13" t="n"/>
      <c r="I90" s="13" t="n"/>
      <c r="J90" s="13" t="n"/>
      <c r="K90" s="1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workbookViewId="0">
      <pane ySplit="4" topLeftCell="A5" activePane="bottomLeft" state="frozen"/>
      <selection pane="bottomLeft" activeCell="A1" sqref="A1"/>
    </sheetView>
  </sheetViews>
  <sheetFormatPr baseColWidth="8" defaultRowHeight="15"/>
  <cols>
    <col width="9" customWidth="1" min="1" max="1"/>
    <col width="9" customWidth="1" min="2" max="2"/>
    <col width="34" customWidth="1" min="3" max="3"/>
    <col width="52" customWidth="1" min="4" max="4"/>
    <col width="8" customWidth="1" min="5" max="5"/>
    <col width="20" customWidth="1" min="6" max="6"/>
    <col width="78" customWidth="1" min="7" max="7"/>
    <col width="40" customWidth="1" min="8" max="8"/>
    <col width="14" customWidth="1" min="9" max="9"/>
    <col width="13" customWidth="1" min="10" max="10"/>
  </cols>
  <sheetData>
    <row r="1">
      <c r="A1" s="10" t="inlineStr">
        <is>
          <t>Corpus expansion runbook — adding material and updating the topic map</t>
        </is>
      </c>
    </row>
    <row r="2">
      <c r="A2" s="10" t="inlineStr">
        <is>
          <t>Recurring. Run in ID order for every batch of new columns, speeches, books or data. No dates: this is a sequence, not a schedule.</t>
        </is>
      </c>
    </row>
    <row r="3">
      <c r="A3" s="11" t="n"/>
    </row>
    <row r="4">
      <c r="A4" s="12" t="inlineStr">
        <is>
          <t>ID</t>
        </is>
      </c>
      <c r="B4" s="12" t="inlineStr">
        <is>
          <t>Step</t>
        </is>
      </c>
      <c r="C4" s="12" t="inlineStr">
        <is>
          <t>What it involves</t>
        </is>
      </c>
      <c r="D4" s="12" t="inlineStr">
        <is>
          <t>People</t>
        </is>
      </c>
      <c r="E4" s="12" t="inlineStr">
        <is>
          <t>Who</t>
        </is>
      </c>
      <c r="F4" s="12" t="inlineStr">
        <is>
          <t>How / paste-ready prompt</t>
        </is>
      </c>
      <c r="G4" s="12" t="inlineStr">
        <is>
          <t>Done when</t>
        </is>
      </c>
      <c r="H4" s="12" t="inlineStr">
        <is>
          <t>Depends on</t>
        </is>
      </c>
      <c r="I4" s="12" t="inlineStr">
        <is>
          <t>Status</t>
        </is>
      </c>
      <c r="J4" s="12" t="inlineStr">
        <is>
          <t>Evidence</t>
        </is>
      </c>
    </row>
    <row r="5">
      <c r="A5" s="12" t="inlineStr">
        <is>
          <t>A · TAKE THE MATERIAL IN</t>
        </is>
      </c>
      <c r="B5" s="13" t="n"/>
      <c r="C5" s="13" t="n"/>
      <c r="D5" s="13" t="n"/>
      <c r="E5" s="13" t="n"/>
      <c r="F5" s="13" t="n"/>
      <c r="G5" s="13" t="n"/>
      <c r="H5" s="13" t="n"/>
      <c r="I5" s="13" t="n"/>
      <c r="J5" s="13" t="n"/>
    </row>
    <row r="6">
      <c r="A6" s="6" t="inlineStr">
        <is>
          <t>CE-1</t>
        </is>
      </c>
      <c r="B6" s="6" t="inlineStr">
        <is>
          <t>Intake &amp; provenance register — open the batch</t>
        </is>
      </c>
      <c r="C6" s="6" t="inlineStr">
        <is>
          <t>- Log every item: source, material type (column / speech / chapter / book), title, date, rights &amp; consent status [Member 2]
- Assign a doc_id block from the next free range; never reuse or renumber an existing ID [Member 2]
- If an item supersedes an existing doc, record the superseded doc_id — supersede by flag, never by editing the old row [Member 2]
- Open batch-&lt;id&gt;/ ; every artifact from here down lands in it [Member 2]</t>
        </is>
      </c>
      <c r="D6" s="6" t="inlineStr">
        <is>
          <t>1</t>
        </is>
      </c>
      <c r="E6" s="6" t="inlineStr">
        <is>
          <t>Member 2</t>
        </is>
      </c>
      <c r="F6" s="6" t="inlineStr">
        <is>
          <t>(Cowork) Open a new corpus batch. Create batch-&lt;id&gt;/ and an intake_manifest.csv recording, per item: source, material type, title, publication date, rights/consent status, assigned doc_id, and superseded_doc_id (blank unless it replaces something). Assign doc_ids from the next free block — never reuse or renumber. Output the manifest plus a one-paragraph provenance note. If any item has unclear rights or an ambiguous date, FLAG it and stop — do not guess.
FORMATS: source .md -&gt; see tab 'Format · Source .md'. Enriched row (15 fields; biography 14) -&gt; tab 'Format · Enriched row'. Generated corpus files -&gt; tab 'Format · Corpus output'. Themes and IDs -&gt; tab 'Themes &amp; IDs'.</t>
        </is>
      </c>
      <c r="G6" s="6" t="inlineStr">
        <is>
          <t>Batch registered; doc_id block reserved; rights/consent recorded per item. Nothing written to the corpus yet.</t>
        </is>
      </c>
      <c r="H6" s="6" t="inlineStr">
        <is>
          <t>—</t>
        </is>
      </c>
      <c r="I6" s="6" t="inlineStr">
        <is>
          <t>[ ]</t>
        </is>
      </c>
      <c r="J6" s="6" t="inlineStr">
        <is>
          <t>batch-&lt;id&gt;/intake_manifest.csv</t>
        </is>
      </c>
    </row>
    <row r="7">
      <c r="A7" s="6" t="inlineStr">
        <is>
          <t>CE-1a</t>
        </is>
      </c>
      <c r="B7" s="6" t="inlineStr">
        <is>
          <t>Source text to .md — one file per doc, one fixed format</t>
        </is>
      </c>
      <c r="C7" s="6" t="inlineStr">
        <is>
          <t>- Convert every item to data/text/&lt;ID&gt;.md following the source-file contract on the Data Flow sheet [Member 2]
- Filename is the three-digit ID (BA051.md, never BA51.md); '# Title' line, then Date / Publisher / Source / By lines, then the body [Member 2]
- No YAML '---' front matter and no horizontal rules; section headings as '## Heading' — they drive the heading-aware chunker [Member 2]
- Never feed a generated corpus/*.md back in as a source — it already carries front matter, summary and anecdotes [Member 2]</t>
        </is>
      </c>
      <c r="D7" s="6" t="inlineStr">
        <is>
          <t>1</t>
        </is>
      </c>
      <c r="E7" s="6" t="inlineStr">
        <is>
          <t>Member 2</t>
        </is>
      </c>
      <c r="F7" s="6" t="inlineStr">
        <is>
          <t>(Cowork) For each item in batch-&lt;id&gt;/intake_manifest.csv, write data/text/&lt;ID&gt;.md following the source-file contract on the Data Flow sheet: a '# Title' line, then Date / Publisher / Source / By lines, then the body in markdown with '##' section headings. No YAML front matter, no horizontal rules. Report per file: word count, heading count, and any item whose text is incomplete or unreadable. Do not write to corpus/ and do not touch the pinned data/csv sheets. CJAP columns: pasted from inquirer.net one at a time with the C1 template in BATCH-&lt;id&gt;_COLUMNS_PROMPTS.md — Claude writes the .md, the manifest row and the enriched row together.
FORMATS: source .md -&gt; see tab 'Format · Source .md'. Enriched row (15 fields; biography 14) -&gt; tab 'Format · Enriched row'. Generated corpus files -&gt; tab 'Format · Corpus output'. Themes and IDs -&gt; tab 'Themes &amp; IDs'.</t>
        </is>
      </c>
      <c r="G7" s="6" t="inlineStr">
        <is>
          <t>Every manifest item has exactly one .md in the contract format; word and heading counts reported; incomplete items flagged, not guessed.</t>
        </is>
      </c>
      <c r="H7" s="6" t="inlineStr">
        <is>
          <t>CE-1</t>
        </is>
      </c>
      <c r="I7" s="6" t="inlineStr">
        <is>
          <t>[ ]</t>
        </is>
      </c>
      <c r="J7" s="6" t="inlineStr">
        <is>
          <t>data/text/&lt;ID&gt;.md + batch-&lt;id&gt;/source_check.md</t>
        </is>
      </c>
    </row>
    <row r="8">
      <c r="A8" s="6" t="inlineStr">
        <is>
          <t>CE-1b</t>
        </is>
      </c>
      <c r="B8" s="6" t="inlineStr">
        <is>
          <t>Enrichment — author the 15-column row for each doc</t>
        </is>
      </c>
      <c r="C8" s="6" t="inlineStr">
        <is>
          <t>- One row per doc in batch-&lt;id&gt;/&lt;type&gt;_enriched.xlsx, all 15 columns in schema order (Data Flow sheet) [Member 2]
- Signature phrases and quoted anecdotes VERBATIM from the source; stances as claim + rhetorical_move + confidence [Member 2]
- Date typed as TEXT 'YYYY-MM-DD' — never let the spreadsheet convert it (that is how 2001-12 became 2026-01-12) [Member 2]
- Claude may draft; a human verifies. Spot-check 10 rows against the source before CE-2 [Member 2]</t>
        </is>
      </c>
      <c r="D8" s="6" t="inlineStr">
        <is>
          <t>2</t>
        </is>
      </c>
      <c r="E8" s="6" t="inlineStr">
        <is>
          <t>Member 2 (Claude-assisted)</t>
        </is>
      </c>
      <c r="F8" s="6" t="inlineStr">
        <is>
          <t>(Cowork) For each data/text/&lt;ID&gt;.md in batch-&lt;id&gt;, draft one row of the 15-column curated schema using the encodings on the Data Flow sheet: Date (text, YYYY-MM-DD), Title, Article Code, Link, Keyword/s, primary_topics, sub_topics, signature_phrases, entities, stances, notable_anecdotes, target_audience, register_markers, decision_framework_signals, one_paragraph_summary. Every signature phrase must appear VERBATIM in the source — check each by exact string search and list every failure. List fields as JSON arrays; entities as a JSON object. Write batch-&lt;id&gt;/&lt;type&gt;_enriched.xlsx only. Do not append to the pinned data/csv sheets — that is CE-2/CE-4.
FORMATS: source .md -&gt; see tab 'Format · Source .md'. Enriched row (15 fields; biography 14) -&gt; tab 'Format · Enriched row'. Generated corpus files -&gt; tab 'Format · Corpus output'. Themes and IDs -&gt; tab 'Themes &amp; IDs'.</t>
        </is>
      </c>
      <c r="G8" s="6" t="inlineStr">
        <is>
          <t>Every row has all 15 fields; 100% of signature phrases found verbatim; dates stored as text; 10-row spot-check signed off.</t>
        </is>
      </c>
      <c r="H8" s="6" t="inlineStr">
        <is>
          <t>CE-1a</t>
        </is>
      </c>
      <c r="I8" s="6" t="inlineStr">
        <is>
          <t>[ ]</t>
        </is>
      </c>
      <c r="J8" s="6" t="inlineStr">
        <is>
          <t>batch-&lt;id&gt;/&lt;type&gt;_enriched.xlsx + verbatim-check report</t>
        </is>
      </c>
    </row>
    <row r="9">
      <c r="A9" s="6" t="inlineStr">
        <is>
          <t>CE-2</t>
        </is>
      </c>
      <c r="B9" s="6" t="inlineStr">
        <is>
          <t>Schema validation + normalisation — STOP on violation</t>
        </is>
      </c>
      <c r="C9" s="6" t="inlineStr">
        <is>
          <t>- Validate the 15-column curated schema; utf-8-sig; JSON-list fields parse cleanly [Member 1]
- Repair mojibake; normalise curly quotes/dashes; casefold + strip keyword tokens [Member 1]
- Report rows changed + every unparseable field; STOP on any schema violation — never coerce silently [Member 1]
- QA: spot-check 10 items against the original source [Member 2]</t>
        </is>
      </c>
      <c r="D9" s="6" t="inlineStr">
        <is>
          <t>1</t>
        </is>
      </c>
      <c r="E9" s="6" t="inlineStr">
        <is>
          <t>Member 1</t>
        </is>
      </c>
      <c r="F9" s="6" t="inlineStr">
        <is>
          <t>Run the normalisation script over batch-&lt;id&gt;/&lt;type&gt;_enriched.xlsx: validate the 15-column curated schema, re-save utf-8-sig with ensure_ascii=False, repair cp1252 mojibake, normalise curly quotes/dashes, safely parse the JSON-list fields (Keyword/s, primary_topics, sub_topics, signature_phrases, entities), and casefold/strip keyword tokens. Report rows changed and every unparseable field. STOP and report on any schema violation — do not drop or coerce a column to make the batch pass.
FORMATS: source .md -&gt; see tab 'Format · Source .md'. Enriched row (15 fields; biography 14) -&gt; tab 'Format · Enriched row'. Generated corpus files -&gt; tab 'Format · Corpus output'. Themes and IDs -&gt; tab 'Themes &amp; IDs'.</t>
        </is>
      </c>
      <c r="G9" s="6" t="inlineStr">
        <is>
          <t>mojibake = 0; schema valid; unparseable fields listed; 10-item spot-check signed off.</t>
        </is>
      </c>
      <c r="H9" s="6" t="inlineStr">
        <is>
          <t>CE-1b</t>
        </is>
      </c>
      <c r="I9" s="6" t="inlineStr">
        <is>
          <t>[ ]</t>
        </is>
      </c>
      <c r="J9" s="6" t="inlineStr">
        <is>
          <t>batch-&lt;id&gt;/*_curated_normalized.xlsx + QA note</t>
        </is>
      </c>
    </row>
    <row r="10">
      <c r="A10" s="6" t="inlineStr">
        <is>
          <t>CE-3</t>
        </is>
      </c>
      <c r="B10" s="6" t="inlineStr">
        <is>
          <t>Book split — one document per chapter; skip forewords, appendices and other thin parts</t>
        </is>
      </c>
      <c r="C10" s="6" t="inlineStr">
        <is>
          <t>- ONE CHAPTER = ONE DOCUMENT, however short; never merge short chapters [Member 1 + Member 2]
- No document for cover, contents, foreword, preface, acknowledgments, appendices, bibliography, index, about-the-author, blurbs/reviews or other thin parts — list them as SKIP with a reason [Member 2]
- Keep the author's own Introduction / Prologue / Epilogue when it carries his argument; mark a skipped 800+ word piece in his own words as a 'candidate' [Member 2]
- Collection books (e.g. With Due Respect): one document per reprinted piece, with its original date, checked against existing columns and speeches [Member 2]
- Chapters over 6,000 words stay whole unless the team decides to split at sections [Member 1 + Member 2]
- Runs BEFORE ID assignment for books, because the split decides how many IDs are needed [Member 2]</t>
        </is>
      </c>
      <c r="D10" s="6" t="inlineStr">
        <is>
          <t>2</t>
        </is>
      </c>
      <c r="E10" s="6" t="inlineStr">
        <is>
          <t>Member 1 + Member 2</t>
        </is>
      </c>
      <c r="F10" s="6" t="inlineStr">
        <is>
          <t>B0 in batch-&lt;id&gt;/BATCH-&lt;id&gt;_BOOKS_PROMPTS.md — one run per book: read the whole book, classify every part as CHAPTER or SKIP by the rules, write one file per chapter to batch-&lt;id&gt;/book_split/&lt;book&gt;/ch&lt;NN&gt;_&lt;slug&gt;.md (text exactly as printed, sections as '##'), plus split_plan.csv (order, part label, classification, skip reason, chapter no/title, pages, word count, flags) and split_report.md. Self-checks: chapter words + skipped words = whole book (±3%); no overlap between chapter files; no file for a SKIP part. STOP for team confirmation before intake.
FORMATS: source .md -&gt; see tab 'Format · Source .md'. Enriched row (15 fields; biography 14) -&gt; tab 'Format · Enriched row'. Generated corpus files -&gt; tab 'Format · Corpus output'. Themes and IDs -&gt; tab 'Themes &amp; IDs'.</t>
        </is>
      </c>
      <c r="G10" s="6" t="inlineStr">
        <is>
          <t>split_plan.csv confirmed per book: every chapter is one file; every skipped part is listed with a reason; coverage check passes.</t>
        </is>
      </c>
      <c r="H10" s="6" t="inlineStr">
        <is>
          <t>— (books: before CE-1)</t>
        </is>
      </c>
      <c r="I10" s="6" t="inlineStr">
        <is>
          <t>[ ]</t>
        </is>
      </c>
      <c r="J10" s="6" t="inlineStr">
        <is>
          <t>batch-&lt;id&gt;/book_split/&lt;book&gt;/split_plan.csv + split_report.md</t>
        </is>
      </c>
    </row>
    <row r="11">
      <c r="A11" s="6" t="inlineStr">
        <is>
          <t>CE-4</t>
        </is>
      </c>
      <c r="B11" s="6" t="inlineStr">
        <is>
          <t>Append-only merge into the corpus + re-pin</t>
        </is>
      </c>
      <c r="C11" s="6" t="inlineStr">
        <is>
          <t>- Merge the new rows into the corpus tree APPEND-ONLY; existing rows are never mutated [Member 1]
- Regenerate the affected markdown from the curated xlsx — never from a stale CSV [Member 1]
- Recompute the corpus snapshot (per-file sha256 + per-doc row hash); run the corpus verification script [Member 1]
- Content-aware diff before/after — matching row counts do NOT prove nothing was lost [Member 1]</t>
        </is>
      </c>
      <c r="D11" s="6" t="inlineStr">
        <is>
          <t>1</t>
        </is>
      </c>
      <c r="E11" s="6" t="inlineStr">
        <is>
          <t>Member 1</t>
        </is>
      </c>
      <c r="F11" s="6" t="inlineStr">
        <is>
          <t>Merge batch-&lt;id&gt; into the corpus append-only: regenerate the markdown tree from the curated normalised xlsx (never the stale CSVs), add only the new doc_ids, and leave every pre-existing row byte-identical. Recompute the corpus snapshot with per-file sha256 + per-doc row_sha256 and run the corpus verification script. Report: corpus count before/after, the exact delta, and a content-aware diff confirming zero pre-existing row hashes changed. STOP if corpus verification fails or any existing hash moved. CJAP: the generator is scripts/generate_corpus_from_xlsx.py — run it with --dry-run first; it skips every ID in data/csv/retired_doc_ids.csv and strips a stray YAML block from a source .md (both reported).
FORMATS: source .md -&gt; see tab 'Format · Source .md'. Enriched row (15 fields; biography 14) -&gt; tab 'Format · Enriched row'. Generated corpus files -&gt; tab 'Format · Corpus output'. Themes and IDs -&gt; tab 'Themes &amp; IDs'.</t>
        </is>
      </c>
      <c r="G11" s="6" t="inlineStr">
        <is>
          <t>Corpus count rises by exactly the batch size; zero pre-existing row hashes changed; corpus verification PASSES.</t>
        </is>
      </c>
      <c r="H11" s="6" t="inlineStr">
        <is>
          <t>CE-3</t>
        </is>
      </c>
      <c r="I11" s="6" t="inlineStr">
        <is>
          <t>[ ]</t>
        </is>
      </c>
      <c r="J11" s="6" t="inlineStr">
        <is>
          <t>the corpus snapshot diff; corpus verification PASS</t>
        </is>
      </c>
    </row>
    <row r="12">
      <c r="A12" s="6" t="inlineStr">
        <is>
          <t>CE-5</t>
        </is>
      </c>
      <c r="B12" s="6" t="inlineStr">
        <is>
          <t>Chunk NEW docs only — doc store grows, it is not rebuilt</t>
        </is>
      </c>
      <c r="C12" s="6" t="inlineStr">
        <is>
          <t>- Chunk only the new doc_ids, with the same the config file knobs as the standing build [Member 1]
- Append to the doc store + chunk index; chunk_ids of existing docs stay stable [Member 1]
- Verify every new doc resolves to at least one chunk [Member 1]
- Boundary + anecdote spot-check on a sample of the new material [Member 1]</t>
        </is>
      </c>
      <c r="D12" s="6" t="inlineStr">
        <is>
          <t>1</t>
        </is>
      </c>
      <c r="E12" s="6" t="inlineStr">
        <is>
          <t>Member 1</t>
        </is>
      </c>
      <c r="F12" s="6" t="inlineStr">
        <is>
          <t>Chunk ONLY the new doc_ids from batch-&lt;id&gt; using the existing heading-aware chunker with all knobs read from the config file — do not re-chunk the existing corpus and do not change any knob. Append to the doc store and chunk index so existing chunk_ids remain stable. Report chunk count before/after, chunks-per-doc for the new material, and a boundary + anecdote spot-check on a sample. Verify every new doc_id resolves to &gt;= 1 chunk.
FORMATS: source .md -&gt; see tab 'Format · Source .md'. Enriched row (15 fields; biography 14) -&gt; tab 'Format · Enriched row'. Generated corpus files -&gt; tab 'Format · Corpus output'. Themes and IDs -&gt; tab 'Themes &amp; IDs'.</t>
        </is>
      </c>
      <c r="G12" s="6" t="inlineStr">
        <is>
          <t>Chunk count rises only by the new material; existing chunk_ids unchanged; every new doc resolves.</t>
        </is>
      </c>
      <c r="H12" s="6" t="inlineStr">
        <is>
          <t>CE-4</t>
        </is>
      </c>
      <c r="I12" s="6" t="inlineStr">
        <is>
          <t>[ ]</t>
        </is>
      </c>
      <c r="J12" s="6" t="inlineStr">
        <is>
          <t>corpus/index/chunks.jsonl (counts before/after)</t>
        </is>
      </c>
    </row>
    <row r="13">
      <c r="A13" s="12" t="inlineStr">
        <is>
          <t>B · REBUILD THE INDEXES</t>
        </is>
      </c>
      <c r="B13" s="13" t="n"/>
      <c r="C13" s="13" t="n"/>
      <c r="D13" s="13" t="n"/>
      <c r="E13" s="13" t="n"/>
      <c r="F13" s="13" t="n"/>
      <c r="G13" s="13" t="n"/>
      <c r="H13" s="13" t="n"/>
      <c r="I13" s="13" t="n"/>
      <c r="J13" s="13" t="n"/>
    </row>
    <row r="14">
      <c r="A14" s="6" t="inlineStr">
        <is>
          <t>CE-6</t>
        </is>
      </c>
      <c r="B14" s="6" t="inlineStr">
        <is>
          <t>One full re-embed — old + new in a SINGLE vector space</t>
        </is>
      </c>
      <c r="C14" s="6" t="inlineStr">
        <is>
          <t>- Re-embed the WHOLE corpus with the ratified encoder and dimensionality; never mix models or dims [Member 1]
- Model loaded once, resident; persist matrix + meta with provenance (model id, dim, date, corpus hash) [Member 1]
- Rebuild the BM25 sparse index; append new keywords/entities as atomic phrases (no whitespace split) [Member 1]
- Refresh the date index from the new front matter [Member 1]</t>
        </is>
      </c>
      <c r="D14" s="6" t="inlineStr">
        <is>
          <t>1</t>
        </is>
      </c>
      <c r="E14" s="6" t="inlineStr">
        <is>
          <t>Member 1</t>
        </is>
      </c>
      <c r="F14" s="6" t="inlineStr">
        <is>
          <t>Re-embed the FULL corpus (old + new) in one pass with the ratified encoder and dimensionality from the config file — a partial re-embed or a different model would leave two incompatible vector spaces in one index. Load the model once, resident. Persist the matrix plus a meta/provenance file recording model id, dimensionality, corpus hash, doc/chunk counts and date. Then rebuild the BM25 sparse index over all chunk text and extend the atomic-phrase dictionary with the new curated keywords/entities (multi-word keywords stay single terms). Refresh the date index from the new front matter.
FORMATS: source .md -&gt; see tab 'Format · Source .md'. Enriched row (15 fields; biography 14) -&gt; tab 'Format · Enriched row'. Generated corpus files -&gt; tab 'Format · Corpus output'. Themes and IDs -&gt; tab 'Themes &amp; IDs'.</t>
        </is>
      </c>
      <c r="G14" s="6" t="inlineStr">
        <is>
          <t>One matrix covering old + new under a single model/dim; sparse + date indexes current; provenance artifact written. Mixing encoders across one corpus silently corrupts every cosine downstream — it is not recoverable by tuning.</t>
        </is>
      </c>
      <c r="H14" s="6" t="inlineStr">
        <is>
          <t>CE-5</t>
        </is>
      </c>
      <c r="I14" s="6" t="inlineStr">
        <is>
          <t>[ ]</t>
        </is>
      </c>
      <c r="J14" s="6" t="inlineStr">
        <is>
          <t>dense matrix + *_meta.json provenance; sparse index; date index</t>
        </is>
      </c>
    </row>
    <row r="15">
      <c r="A15" s="12" t="inlineStr">
        <is>
          <t>C · DECIDE WHAT THE TOPIC MAP NEEDS</t>
        </is>
      </c>
      <c r="B15" s="13" t="n"/>
      <c r="C15" s="13" t="n"/>
      <c r="D15" s="13" t="n"/>
      <c r="E15" s="13" t="n"/>
      <c r="F15" s="13" t="n"/>
      <c r="G15" s="13" t="n"/>
      <c r="H15" s="13" t="n"/>
      <c r="I15" s="13" t="n"/>
      <c r="J15" s="13" t="n"/>
    </row>
    <row r="16">
      <c r="A16" s="6" t="inlineStr">
        <is>
          <t>CE-7</t>
        </is>
      </c>
      <c r="B16" s="6" t="inlineStr">
        <is>
          <t>DERIVE candidate topic dimensions from the corpus — no inherited map</t>
        </is>
      </c>
      <c r="C16" s="6" t="inlineStr">
        <is>
          <t>- Tag each new doc against the existing centroids (primary + secondary, tag cap from config) [Member 1]
- Report the max-cosine distribution and list every doc below the floor (orphans) [Member 1]
- Cluster the orphans — scattered misses, or one coherent recurring subject? [Member 1]
- Re-run the independence check on existing centroids: has the enlarged corpus pushed any pair above the merge bar? [Member 1]</t>
        </is>
      </c>
      <c r="D16" s="6" t="inlineStr">
        <is>
          <t>1</t>
        </is>
      </c>
      <c r="E16" s="6" t="inlineStr">
        <is>
          <t>Member 1</t>
        </is>
      </c>
      <c r="F16" s="6" t="inlineStr">
        <is>
          <t>Tag ONLY the new batch-&lt;id&gt; docs against the EXISTING topic centroids (primary + secondary, up to the config tag cap). Do not create, merge or modify any centroid in this task. Report: (1) the max-cosine distribution for the new docs, (2) every doc below the tagging floor as an orphan list with its best-matching topic and score, (3) a clustering of those orphans — are they scattered, or do they share a subject? — and (4) a re-run of the independence check across existing centroids on the enlarged corpus. Output the tagging table plus the orphan and independence reports.
FORMATS: source .md -&gt; see tab 'Format · Source .md'. Enriched row (15 fields; biography 14) -&gt; tab 'Format · Enriched row'. Generated corpus files -&gt; tab 'Format · Corpus output'. Themes and IDs -&gt; tab 'Themes &amp; IDs'.  DERIVE-FIRST AMENDMENT (26 Sep 2026): the existing topic map is prior art, not the reference. Score the WHOLE corpus against the prior-art matchers for diagnosis only, then derive candidate dimensions from four sources: (1) k-means over the zero-scoring documents, k = 2..40 with a silhouette curve, reported at document and chunk level; (2) every distinct primary_topics / sub_topics value appearing in 15+ documents that no prior-art matcher catches; (3) per-work coverage across all twelve works; (4) pairwise cosine on provisional centroids plus an orphan-rate sweep of the floor from 0.55 to 0.80. Do not assume any prior-art topic survives.</t>
        </is>
      </c>
      <c r="G16" s="6" t="inlineStr">
        <is>
          <t>Tagging table + orphan list + orphan clustering + independence report delivered. NO centroid was changed — this task produces the decision input, not the decision.</t>
        </is>
      </c>
      <c r="H16" s="6" t="inlineStr">
        <is>
          <t>CE-6</t>
        </is>
      </c>
      <c r="I16" s="6" t="inlineStr">
        <is>
          <t>[ ]</t>
        </is>
      </c>
      <c r="J16" s="6" t="inlineStr">
        <is>
          <t>orphan_census_batch-&lt;id&gt;.md + tagging table</t>
        </is>
      </c>
    </row>
    <row r="17">
      <c r="A17" s="6" t="inlineStr">
        <is>
          <t>CE-8</t>
        </is>
      </c>
      <c r="B17" s="6" t="inlineStr">
        <is>
          <t>DECIDE — the topic count and the dimension list  (the gate)</t>
        </is>
      </c>
      <c r="C17" s="6" t="inlineStr">
        <is>
          <t>- Scattered low-cosine orphans with no shared subject → RETAG ONLY: skip to CE-11 [Member 3 + Member 2]
- A coherent orphan cluster the map has no dimension for → EXPANSION: go to CE-9 [Member 3 + Member 2]
- Independence violations, or a topic whose members no longer cohere → FULL REBUILD: go to CE-10 [Member 3 + Member 2]
- Record the branch taken and the rationale in the decisions register — the branch IS the audit trail [Member 2]</t>
        </is>
      </c>
      <c r="D17" s="6" t="inlineStr">
        <is>
          <t>2</t>
        </is>
      </c>
      <c r="E17" s="6" t="inlineStr">
        <is>
          <t>Member 3 + Member 2</t>
        </is>
      </c>
      <c r="F17" s="6" t="inlineStr">
        <is>
          <t>(human decision — no CC prompt) Read the CE-7 orphan census and independence report, choose one branch, and record it in the decisions register with the evidence attached and a revisit date. Then a one-line CC task notes the chosen branch in the batch folder. Do not start centroid work before the branch is recorded.  DERIVE-FIRST AMENDMENT (26 Sep 2026): the branch is no longer retag / expand / rebuild, because there is nothing to retag against. The decision is the topic count N and the dimension list, taken from the CE-7 evidence, with the tagging floor and the fate of every prior-art topic recorded alongside it.</t>
        </is>
      </c>
      <c r="G17" s="6" t="inlineStr">
        <is>
          <t>Exactly one branch chosen and recorded, with the orphan + independence evidence attached to it.</t>
        </is>
      </c>
      <c r="H17" s="6" t="inlineStr">
        <is>
          <t>CE-7</t>
        </is>
      </c>
      <c r="I17" s="6" t="inlineStr">
        <is>
          <t>[ ]</t>
        </is>
      </c>
      <c r="J17" s="6" t="inlineStr">
        <is>
          <t>decisions register entry; batch-&lt;id&gt;/branch.md</t>
        </is>
      </c>
    </row>
    <row r="18">
      <c r="A18" s="6" t="inlineStr">
        <is>
          <t>CE-9</t>
        </is>
      </c>
      <c r="B18" s="6" t="inlineStr">
        <is>
          <t>Taxonomy proposal + human sign-off  (gate — always, not only on expansion)</t>
        </is>
      </c>
      <c r="C18" s="6" t="inlineStr">
        <is>
          <t>- Draft taxonomy_expansion_PROPOSAL.md: one candidate dimension per section [Member 2]
- Per dimension: label, description, signature phrases, &gt;= 3 exemplar chunks, and the evidence (orphan cluster, query-log misses, corpus density) [Member 2]
- Reject any candidate that is a rephrase of an existing dimension — test its cosine against every existing centroid first [Member 1]
- the project lead + Member 2 sign-off BEFORE any centroid file is touched [Member 3]</t>
        </is>
      </c>
      <c r="D18" s="6" t="inlineStr">
        <is>
          <t>3</t>
        </is>
      </c>
      <c r="E18" s="6" t="inlineStr">
        <is>
          <t>Member 3 + Member 2 → Member 1</t>
        </is>
      </c>
      <c r="F18" s="6" t="inlineStr">
        <is>
          <t>Draft taxonomy_expansion_PROPOSAL.md from the CE-7 orphan clusters: one section per candidate dimension with label, description, signature phrases, at least 3 exemplar chunks, and the evidence for it (orphan cluster size, query-log misses, corpus density). For each candidate, build its provisional centroid and report the cosine against EVERY existing centroid — flag as a duplicate anything above the merge bar and drop it from the proposal. Present for sign-off. Do not modify the live centroids in this task.  DERIVE-FIRST AMENDMENT (26 Sep 2026): the proposal covers the WHOLE taxonomy, not an increment to an existing one. One section per dimension with label, definition, signature phrases, three or more exemplar doc_ids, and the cluster or vocabulary entry it came from. State the recommended N and why that number and not N plus or minus three. A prior-art topic appears only if the derivation independently produced it.</t>
        </is>
      </c>
      <c r="G18" s="6" t="inlineStr">
        <is>
          <t>Signed proposal listing only evidence-backed, non-duplicate dimensions. Expansion without recorded sign-off is out of scope.</t>
        </is>
      </c>
      <c r="H18" s="6" t="inlineStr">
        <is>
          <t>CE-8</t>
        </is>
      </c>
      <c r="I18" s="6" t="inlineStr">
        <is>
          <t>[ ]</t>
        </is>
      </c>
      <c r="J18" s="6" t="inlineStr">
        <is>
          <t>taxonomy_expansion_PROPOSAL.md + sign-off</t>
        </is>
      </c>
    </row>
    <row r="19">
      <c r="A19" s="6" t="inlineStr">
        <is>
          <t>CE-10</t>
        </is>
      </c>
      <c r="B19" s="6" t="inlineStr">
        <is>
          <t>Rebuild centroids — from scratch, never incrementally grown</t>
        </is>
      </c>
      <c r="C19" s="6" t="inlineStr">
        <is>
          <t>- centroid = mean( label + description + signature_phrases + exemplar chunks ), same encoder as CE-6 [Member 1]
- Independence check: merge pairs above the merge cosine; record every merge with both labels [Member 1]
- Re-derive the tagging floor — an enlarged corpus shifts the cosine distribution [Member 1]
- Retag the WHOLE corpus (1-3 topics, primary + secondary), not just the new batch [Member 1]
- Every knob from the config file; introduce no new literals [Member 1]</t>
        </is>
      </c>
      <c r="D19" s="6" t="inlineStr">
        <is>
          <t>1</t>
        </is>
      </c>
      <c r="E19" s="6" t="inlineStr">
        <is>
          <t>Member 1</t>
        </is>
      </c>
      <c r="F19" s="6" t="inlineStr">
        <is>
          <t>Rebuild the topic centroids FROM SCRATCH under the current dimensional model — do not start from, or incrementally extend, the existing centroid file. Each centroid = mean(label + description + signature_phrases + exemplar chunks), embedded with the SAME encoder and dim as CE-6. Re-run the independence check and merge pairs above the merge threshold, listing every merge with both labels. Re-derive the tagging floor on the enlarged corpus rather than carrying the old one over. Then retag the ENTIRE corpus up to the tag cap. Read every knob from the config file. Report: topic count before/after, merged pairs, the new floor, coverage gaps, and the retagging summary.</t>
        </is>
      </c>
      <c r="G19" s="6" t="inlineStr">
        <is>
          <t>Topic map rebuilt from scratch; merges and the re-derived floor recorded; the whole corpus retagged under the new map.</t>
        </is>
      </c>
      <c r="H19" s="6" t="inlineStr">
        <is>
          <t>CE-9 (sign-off is mandatory)</t>
        </is>
      </c>
      <c r="I19" s="6" t="inlineStr">
        <is>
          <t>[ ]</t>
        </is>
      </c>
      <c r="J19" s="6" t="inlineStr">
        <is>
          <t>topic_centroids.npy + *_meta.json (n_topics, merge, floor)</t>
        </is>
      </c>
    </row>
    <row r="20">
      <c r="A20" s="12" t="inlineStr">
        <is>
          <t>D · PROVE IT, THEN PROMOTE IT</t>
        </is>
      </c>
      <c r="B20" s="13" t="n"/>
      <c r="C20" s="13" t="n"/>
      <c r="D20" s="13" t="n"/>
      <c r="E20" s="13" t="n"/>
      <c r="F20" s="13" t="n"/>
      <c r="G20" s="13" t="n"/>
      <c r="H20" s="13" t="n"/>
      <c r="I20" s="13" t="n"/>
      <c r="J20" s="13" t="n"/>
    </row>
    <row r="21">
      <c r="A21" s="6" t="inlineStr">
        <is>
          <t>CE-11</t>
        </is>
      </c>
      <c r="B21" s="6" t="inlineStr">
        <is>
          <t>Extend the gold / eval set to cover the new material</t>
        </is>
      </c>
      <c r="C21" s="6" t="inlineStr">
        <is>
          <t>- Add eval items exercising the new docs: grounding, exact-identifier, temporal, out-of-scope [Member 2]
- Add expected doc_ids per item and mark gold_confidence [Member 2]
- Version the updated set; never overwrite the frozen copy in place [Member 1]
- Content-aware diff on the gold file before committing — row counts are not proof [Member 1]</t>
        </is>
      </c>
      <c r="D21" s="6" t="inlineStr">
        <is>
          <t>2</t>
        </is>
      </c>
      <c r="E21" s="6" t="inlineStr">
        <is>
          <t>Member 2 → Member 1</t>
        </is>
      </c>
      <c r="F21" s="6" t="inlineStr">
        <is>
          <t>(Cowork, prep) Extend the gold reference set with items that exercise batch-&lt;id&gt;: grounding questions answerable only from the new docs, at least one exact-identifier query (case number, date, amount) for the sparse arm, one temporal query, and one out-of-scope probe. Add expected doc_ids and gold_confidence per item. Then (Member 1) version the set as a new file and run a CONTENT-AWARE diff against the previous version before committing — never overwrite the frozen copy in place.</t>
        </is>
      </c>
      <c r="G21" s="6" t="inlineStr">
        <is>
          <t>New material is actually tested. Without this the promotion eval proves nothing about the expansion.</t>
        </is>
      </c>
      <c r="H21" s="6" t="inlineStr">
        <is>
          <t>CE-6</t>
        </is>
      </c>
      <c r="I21" s="6" t="inlineStr">
        <is>
          <t>[ ]</t>
        </is>
      </c>
      <c r="J21" s="6" t="inlineStr">
        <is>
          <t>gold_reference_set_v&lt;N&gt;.csv + content diff</t>
        </is>
      </c>
    </row>
    <row r="22">
      <c r="A22" s="6" t="inlineStr">
        <is>
          <t>CE-12</t>
        </is>
      </c>
      <c r="B22" s="6" t="inlineStr">
        <is>
          <t>Promotion eval vs the standing baseline</t>
        </is>
      </c>
      <c r="C22" s="6" t="inlineStr">
        <is>
          <t>- Run the extended gold set through the rebuilt indexes; scope-aware grading [Member 1]
- Compare recall@k, fabrication count, out-of-scope behaviour and retrieval latency vs the current the standing baseline [Member 1]
- Fabrication must stay 0; a recall regression on PRE-EXISTING queries blocks promotion [Member 1]
- Categorise every miss: retrieval or composition [Member 2]</t>
        </is>
      </c>
      <c r="D22" s="6" t="inlineStr">
        <is>
          <t>1</t>
        </is>
      </c>
      <c r="E22" s="6" t="inlineStr">
        <is>
          <t>Member 1</t>
        </is>
      </c>
      <c r="F22" s="6" t="inlineStr">
        <is>
          <t>Run the extended gold set through the rebuilt indexes with scope-aware grading and produce a side-by-side against the current the standing baseline: recall@1 / recall@k, fabricated citations, empty-cited answers, out-of-scope decline behaviour, chunks admitted per query, and retrieval latency p50/p95. Split the results into PRE-EXISTING gold queries and NEW ones — a regression on the pre-existing set blocks promotion even if the new material scores well. Output the comparison table plus per-question diffs.</t>
        </is>
      </c>
      <c r="G22" s="6" t="inlineStr">
        <is>
          <t>Fabrication 0; no regression on pre-existing gold queries; per-metric deltas reported; misses categorised.</t>
        </is>
      </c>
      <c r="H22" s="6" t="inlineStr">
        <is>
          <t>CE-10, CE-11</t>
        </is>
      </c>
      <c r="I22" s="6" t="inlineStr">
        <is>
          <t>[ ]</t>
        </is>
      </c>
      <c r="J22" s="6" t="inlineStr">
        <is>
          <t>promotion_eval_batch-&lt;id&gt;.json</t>
        </is>
      </c>
    </row>
    <row r="23">
      <c r="A23" s="6" t="inlineStr">
        <is>
          <t>CE-13</t>
        </is>
      </c>
      <c r="B23" s="6" t="inlineStr">
        <is>
          <t>Re-check the query-time thresholds on the new distribution</t>
        </is>
      </c>
      <c r="C23" s="6" t="inlineStr">
        <is>
          <t>- Re-verify the out-of-scope gate against a labelled in/out probe set — a bigger corpus moves the cosine distribution [Member 1]
- Sanity-check tau / min_k / max_k and the median chunks-per-query [Member 1]
- Confirm the weak-prior global fallback still fires for orphan-pattern queries [Member 1]
- Re-run the off-domain probes (weather, restaurants) and confirm a graceful decline [Member 1]</t>
        </is>
      </c>
      <c r="D23" s="6" t="inlineStr">
        <is>
          <t>1</t>
        </is>
      </c>
      <c r="E23" s="6" t="inlineStr">
        <is>
          <t>Member 1</t>
        </is>
      </c>
      <c r="F23" s="6" t="inlineStr">
        <is>
          <t>Re-verify the query-time gates after the rebuild. Run the labelled in-scope / out-of-scope probe set and report the separation; if the out-of-scope threshold no longer separates cleanly, report the new suggested value with its evidence — do not change it silently. Report the median and p95 chunks admitted per query against the previous baseline, and confirm the weak-prior global fallback still fires on known orphan-pattern queries. Finish with the off-domain probes and confirm the persona declines rather than answering.</t>
        </is>
      </c>
      <c r="G23" s="6" t="inlineStr">
        <is>
          <t>Off-domain queries still decline; no silent drift in admitted chunk counts. This is the step most often skipped — a gate calibrated on the old corpus is not calibrated on the new one.</t>
        </is>
      </c>
      <c r="H23" s="6" t="inlineStr">
        <is>
          <t>CE-12</t>
        </is>
      </c>
      <c r="I23" s="6" t="inlineStr">
        <is>
          <t>[ ]</t>
        </is>
      </c>
      <c r="J23" s="6" t="inlineStr">
        <is>
          <t>threshold_recheck_batch-&lt;id&gt;.json</t>
        </is>
      </c>
    </row>
    <row r="24">
      <c r="A24" s="6" t="inlineStr">
        <is>
          <t>CE-14</t>
        </is>
      </c>
      <c r="B24" s="6" t="inlineStr">
        <is>
          <t>Promote, tag and attest</t>
        </is>
      </c>
      <c r="C24" s="6" t="inlineStr">
        <is>
          <t>- Tag a new a new baseline tag only after human attestation [Member 1 → the project lead]
- Write the provenance artifact: corpus hash, doc/chunk counts, encoder + dim, topic count, eval deltas [Member 1]
- Document the rollback: which tag, which archived index, exactly what restores the previous state [Member 1]
- Archive the superseded indexes rather than deleting them [Member 1]</t>
        </is>
      </c>
      <c r="D24" s="6" t="inlineStr">
        <is>
          <t>2</t>
        </is>
      </c>
      <c r="E24" s="6" t="inlineStr">
        <is>
          <t>Member 1 → Member 3</t>
        </is>
      </c>
      <c r="F24" s="6" t="inlineStr">
        <is>
          <t>Promote the rebuilt corpus: write a provenance artifact recording corpus hash, doc and chunk counts, encoder id + dimensionality, topic count, floor and merge settings, and the CE-12 eval deltas. Archive the superseded index files rather than deleting them, and write the rollback procedure — which tag, which archived files, what commands restore the previous state. Create the annotated a new baseline tag tag only after the project lead attestation is recorded.</t>
        </is>
      </c>
      <c r="G24" s="6" t="inlineStr">
        <is>
          <t>Promoted baseline traceable to a corpus hash and an eval result; rollback written down before anyone needs it.</t>
        </is>
      </c>
      <c r="H24" s="6" t="inlineStr">
        <is>
          <t>CE-13</t>
        </is>
      </c>
      <c r="I24" s="6" t="inlineStr">
        <is>
          <t>[ ]</t>
        </is>
      </c>
      <c r="J24" s="6" t="inlineStr">
        <is>
          <t>tag the standing baseline-v&lt;N&gt;; provenance artifact; rollback note</t>
        </is>
      </c>
    </row>
    <row r="25">
      <c r="A25" s="12" t="inlineStr">
        <is>
          <t>E · CLOSE OUT</t>
        </is>
      </c>
      <c r="B25" s="13" t="n"/>
      <c r="C25" s="13" t="n"/>
      <c r="D25" s="13" t="n"/>
      <c r="E25" s="13" t="n"/>
      <c r="F25" s="13" t="n"/>
      <c r="G25" s="13" t="n"/>
      <c r="H25" s="13" t="n"/>
      <c r="I25" s="13" t="n"/>
      <c r="J25" s="13" t="n"/>
    </row>
    <row r="26">
      <c r="A26" s="6" t="inlineStr">
        <is>
          <t>CE-15</t>
        </is>
      </c>
      <c r="B26" s="6" t="inlineStr">
        <is>
          <t>Update the registers, the docs and every quoted number</t>
        </is>
      </c>
      <c r="C26" s="6" t="inlineStr">
        <is>
          <t>- Update the corpus onboarding runbook if this batch taught you something new [Member 2]
- Record the decisions (doc unit, new dimensions, merges, threshold changes) in the decisions register [Member 2]
- Refresh corpus / chunk / topic counts EVERYWHERE they are quoted: this plan, the metrics sheet, client one-pagers, the pipeline diagram [Member 2]
- Commit and push every evidence artifact; confirm the tree is clean — local-only evidence does not count [Member 1]</t>
        </is>
      </c>
      <c r="D26" s="6" t="inlineStr">
        <is>
          <t>2</t>
        </is>
      </c>
      <c r="E26" s="6" t="inlineStr">
        <is>
          <t>Member 2 → Member 1</t>
        </is>
      </c>
      <c r="F26" s="6" t="inlineStr">
        <is>
          <t>(Cowork) Produce a changelist of every place the corpus count, chunk count, topic count or encoder name is quoted — this workbook, the metrics sheet, the client one-pagers, the handover deck, the pipeline diagram — showing file, old line, new line. Apply only after review. Then (Member 1) commit and push every evidence artifact from this batch as grouped, labelled commits and confirm the tree is clean.</t>
        </is>
      </c>
      <c r="G26" s="6" t="inlineStr">
        <is>
          <t>No stale counts left in any deliverable; the full evidence chain is durable on origin, not local-only.</t>
        </is>
      </c>
      <c r="H26" s="6" t="inlineStr">
        <is>
          <t>CE-14</t>
        </is>
      </c>
      <c r="I26" s="6" t="inlineStr">
        <is>
          <t>[ ]</t>
        </is>
      </c>
      <c r="J26" s="6" t="inlineStr">
        <is>
          <t>doc changelist; commit range; clean tree</t>
        </is>
      </c>
    </row>
    <row r="27">
      <c r="A27" s="6" t="inlineStr">
        <is>
          <t>CE-16</t>
        </is>
      </c>
      <c r="B27" s="6" t="inlineStr">
        <is>
          <t>Abort &amp; rollback criteria — read before starting, not after</t>
        </is>
      </c>
      <c r="C27" s="6" t="inlineStr">
        <is>
          <t>- Any pre-existing row hash changed → STOP, restore, re-run CE-4 [Member 1]
- corpus verification fails at any point → STOP; the corpus is no longer a known state [Member 1]
- Fabrication &gt; 0, or a recall regression on pre-existing gold queries → do not promote; keep the old tag live [Member 1]
- Encoder or dimensionality differs from the standing baseline → STOP; a mixed vector space cannot be tuned back into shape [Member 1]
- Expansion without a recorded sign-off → revert the centroid change, then go back to CE-9 [Member 3]</t>
        </is>
      </c>
      <c r="D27" s="6" t="inlineStr">
        <is>
          <t>2</t>
        </is>
      </c>
      <c r="E27" s="6" t="inlineStr">
        <is>
          <t>Member 1 + Member 3</t>
        </is>
      </c>
      <c r="F27" s="6" t="inlineStr">
        <is>
          <t>(reference row — no CC prompt) Before starting a batch, confirm the team agrees on these abort conditions. At least once, exercise the rollback on the archived index so the path is known to work rather than assumed.</t>
        </is>
      </c>
      <c r="G27" s="6" t="inlineStr">
        <is>
          <t>Rollback exercised at least once on an archived index, so the path is proven rather than assumed.</t>
        </is>
      </c>
      <c r="H27" s="6" t="inlineStr">
        <is>
          <t>—</t>
        </is>
      </c>
      <c r="I27" s="6" t="inlineStr">
        <is>
          <t>[ ]</t>
        </is>
      </c>
      <c r="J27" s="6" t="inlineStr">
        <is>
          <t>rollback drill note</t>
        </is>
      </c>
    </row>
    <row r="28">
      <c r="A28" s="12" t="inlineStr">
        <is>
          <t>F · CORRECT OR RETIRE AN EXISTING DOC — the only exceptions to append-only</t>
        </is>
      </c>
      <c r="B28" s="13" t="n"/>
      <c r="C28" s="13" t="n"/>
      <c r="D28" s="13" t="n"/>
      <c r="E28" s="13" t="n"/>
      <c r="F28" s="13" t="n"/>
      <c r="G28" s="13" t="n"/>
      <c r="H28" s="13" t="n"/>
      <c r="I28" s="13" t="n"/>
      <c r="J28" s="13" t="n"/>
    </row>
    <row r="29">
      <c r="A29" s="6" t="inlineStr">
        <is>
          <t>CE-17</t>
        </is>
      </c>
      <c r="B29" s="6" t="inlineStr">
        <is>
          <t>Correct an existing doc — its own batch, never mixed with new material</t>
        </is>
      </c>
      <c r="C29" s="6" t="inlineStr">
        <is>
          <t>- Record what is wrong, the exact doc_ids and the fix in the decisions register first [Member 3]
- Fix at the SOURCE only: the data/text .md or the pinned xlsx row. Never hand-edit corpus/ or the index [Member 1]
- Run it as a batch of its own, so the content diff shows exactly the listed docs and nothing else [Member 1]
- Then CE-4…CE-14 as normal. CE-4's 'no pre-existing hash moved' check becomes 'only the listed docs moved' [Member 1]</t>
        </is>
      </c>
      <c r="D29" s="6" t="inlineStr">
        <is>
          <t>2</t>
        </is>
      </c>
      <c r="E29" s="6" t="inlineStr">
        <is>
          <t>Member 3 → Member 1</t>
        </is>
      </c>
      <c r="F29" s="6" t="inlineStr">
        <is>
          <t>Apply correction batch-&lt;id&gt; from batch-&lt;id&gt;/correction_list.md. Change only the listed source files / xlsx rows. Regenerate with the generator, then produce a CONTENT-AWARE diff of corpus/ before vs after (CRLF-normalised) and confirm the set of changed docs equals the correction list exactly — STOP if any other doc moved. Re-pin, re-chunk, re-embed the full corpus with the ratified encoder, retag against the CURRENT topic map, and run the promotion eval against the standing baseline. Do not tag until attestation is recorded.</t>
        </is>
      </c>
      <c r="G29" s="6" t="inlineStr">
        <is>
          <t>Changed-doc set == correction list; fabrication 0; no regression on pre-existing gold queries; attested and tagged.</t>
        </is>
      </c>
      <c r="H29" s="6" t="inlineStr">
        <is>
          <t>—</t>
        </is>
      </c>
      <c r="I29" s="6" t="inlineStr">
        <is>
          <t>[ ]</t>
        </is>
      </c>
      <c r="J29" s="6" t="inlineStr">
        <is>
          <t>batch-&lt;id&gt;/correction_list.md + content diff + promotion eval</t>
        </is>
      </c>
    </row>
    <row r="30">
      <c r="A30" s="6" t="inlineStr">
        <is>
          <t>CE-18</t>
        </is>
      </c>
      <c r="B30" s="6" t="inlineStr">
        <is>
          <t>Retire a doc — duplicate, no usable source, or rights withdrawn</t>
        </is>
      </c>
      <c r="C30" s="6" t="inlineStr">
        <is>
          <t>- Add one row to data/csv/retired_doc_ids.csv: doc_id, type, title, reason, superseded_by, retired_on [Member 2]
- Leave the pinned xlsx row untouched — the generator skips retired IDs, so no other doc is renumbered [Member 1]
- Move the generated .md/.json to data/retired/corpus/&lt;type&gt;/&lt;theme&gt;/ — moved, never deleted [Member 1]
- A retired ID is never reused. The doc leaves retrieval only at the next re-chunk + re-embed (CE-5/CE-6) [Member 1]</t>
        </is>
      </c>
      <c r="D30" s="6" t="inlineStr">
        <is>
          <t>1</t>
        </is>
      </c>
      <c r="E30" s="6" t="inlineStr">
        <is>
          <t>Member 2 → Member 1</t>
        </is>
      </c>
      <c r="F30" s="6" t="inlineStr">
        <is>
          <t>Retire &lt;doc_ids&gt;: append them to data/csv/retired_doc_ids.csv with reason and superseded_by, move their generated .md/.json from corpus/ to data/retired/corpus/ (same sub-folders, mv -n, no deletes), then run the generator in a scratch output folder and confirm: retired count as expected, every other file byte-identical to the live corpus (CRLF-normalised), summary-fallback count unchanged or lower. Report how many chunks the retired docs still hold in chunks.jsonl — they stay retrievable until the next re-embed.</t>
        </is>
      </c>
      <c r="G30" s="6" t="inlineStr">
        <is>
          <t>Register row per ID; files moved; regen shows no other doc changed; residual chunk count reported and scheduled into the next batch.</t>
        </is>
      </c>
      <c r="H30" s="6" t="inlineStr">
        <is>
          <t>—</t>
        </is>
      </c>
      <c r="I30" s="6" t="inlineStr">
        <is>
          <t>[ ]</t>
        </is>
      </c>
      <c r="J30" s="6" t="inlineStr">
        <is>
          <t>data/csv/retired_doc_ids.csv + data/retired/corpus/</t>
        </is>
      </c>
    </row>
    <row r="31">
      <c r="A31" s="12" t="inlineStr">
        <is>
          <t>RULES THAT MAKE THIS SAFE — (1) CE-8 is the whole decision: retagging is cheap and reversible, a rebuild re-tags everything and needs a fresh promotion eval.  (2) The corpus is APPEND-ONLY and hashed, so any step can be re-run from a known state.  (3) Old and new material share ONE encoder and ONE dimensionality — mixing them is the single failure that tuning cannot repair.  (4) Add a topic dimension only from evidence you can point at.  (5) New material that never reaches the gold set is material you have not tested.  (6) Corrections and retirements are the only ways an existing doc changes — each runs as its own batch (CE-17, CE-18) so the diff proves nothing else moved.</t>
        </is>
      </c>
      <c r="B31" s="13" t="n"/>
      <c r="C31" s="13" t="n"/>
      <c r="D31" s="13" t="n"/>
      <c r="E31" s="13" t="n"/>
      <c r="F31" s="13" t="n"/>
      <c r="G31" s="13" t="n"/>
      <c r="H31" s="13" t="n"/>
      <c r="I31" s="13" t="n"/>
      <c r="J31" s="1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5"/>
  <sheetViews>
    <sheetView workbookViewId="0">
      <selection activeCell="A1" sqref="A1"/>
    </sheetView>
  </sheetViews>
  <sheetFormatPr baseColWidth="8" defaultRowHeight="15"/>
  <cols>
    <col width="9" customWidth="1" min="1" max="1"/>
    <col width="9" customWidth="1" min="2" max="2"/>
    <col width="34" customWidth="1" min="3" max="3"/>
    <col width="52" customWidth="1" min="4" max="4"/>
    <col width="8" customWidth="1" min="5" max="5"/>
    <col width="20" customWidth="1" min="6" max="6"/>
    <col width="78" customWidth="1" min="7" max="7"/>
    <col width="40" customWidth="1" min="8" max="8"/>
  </cols>
  <sheetData>
    <row r="1">
      <c r="A1" s="10" t="inlineStr">
        <is>
          <t>Data flow — source text → enriched row → corpus → index  (CJAP, as built)</t>
        </is>
      </c>
    </row>
    <row r="2">
      <c r="A2" s="10" t="inlineStr">
        <is>
          <t>How a document travels from raw text to something the robot can retrieve. BASE: the Final Project Folder (the basis for the online repo) — data/, corpus/, the corpus scripts and archive/phase1 live there. The index-build and retrieval code is still only in C:\Reachy Mini Project 2026 (D-5). Snapshot 23 Sep 2026. Corpus Expansion says WHEN each step runs; this sheet says WHAT goes in and out; The paste-ready prompts are on the Intake Prompts sheet and in batch-&lt;id&gt;/: BATCH-&lt;id&gt;_BOOKS_PROMPTS.md (B0–B4), BATCH-&lt;id&gt;_COLUMNS_PROMPTS.md (C0–C2, columns pasted from inquirer.net), BATCH-&lt;id&gt;_SPEECHES_PROMPTS.md (S0–S2), BATCH-&lt;id&gt;_BIOGRAPHY_PROMPTS.md (G0–G4) and BATCH-&lt;id&gt;_PROMPTS.md (shared merge P5–P8).</t>
        </is>
      </c>
    </row>
    <row r="3">
      <c r="A3" s="11" t="n"/>
    </row>
    <row r="4">
      <c r="A4" s="10" t="inlineStr">
        <is>
          <t>Step</t>
        </is>
      </c>
      <c r="B4" s="6" t="inlineStr">
        <is>
          <t>Stage</t>
        </is>
      </c>
      <c r="C4" s="6" t="inlineStr">
        <is>
          <t>Input</t>
        </is>
      </c>
      <c r="D4" s="6" t="inlineStr">
        <is>
          <t>What happens</t>
        </is>
      </c>
      <c r="E4" s="6" t="inlineStr">
        <is>
          <t>Who</t>
        </is>
      </c>
      <c r="F4" s="6" t="inlineStr">
        <is>
          <t>Tool / script</t>
        </is>
      </c>
      <c r="G4" s="6" t="inlineStr">
        <is>
          <t>Output (path)</t>
        </is>
      </c>
      <c r="H4" s="6" t="inlineStr">
        <is>
          <t>Check before moving on</t>
        </is>
      </c>
    </row>
    <row r="5">
      <c r="A5" s="10" t="inlineStr">
        <is>
          <t>1 · THE PIPELINE — every arrow is a file on disk</t>
        </is>
      </c>
    </row>
    <row r="6">
      <c r="A6" s="10" t="inlineStr">
        <is>
          <t>DF-1</t>
        </is>
      </c>
      <c r="B6" s="6" t="inlineStr">
        <is>
          <t>Source text</t>
        </is>
      </c>
      <c r="C6" s="6" t="inlineStr">
        <is>
          <t>Original article, speech or chapter (web page, book scan, .docx, .pdf)</t>
        </is>
      </c>
      <c r="D6" s="6" t="inlineStr">
        <is>
          <t>Convert to ONE markdown file per document in the source-file contract (section 2). This is the only place the full text lives.</t>
        </is>
      </c>
      <c r="E6" s="6" t="inlineStr">
        <is>
          <t>Member 2</t>
        </is>
      </c>
      <c r="F6" s="6" t="inlineStr">
        <is>
          <t>Cowork · CE-1a · books B2 · columns C1 · speeches S1 · biography G2</t>
        </is>
      </c>
      <c r="G6" s="6" t="inlineStr">
        <is>
          <t>batch-&lt;id&gt;/data_text/&lt;ID&gt;.md → copied to data/text/&lt;ID&gt;.md at CE-4</t>
        </is>
      </c>
      <c r="H6" s="6" t="inlineStr">
        <is>
          <t>Header present; body complete; headings intact; no YAML block</t>
        </is>
      </c>
    </row>
    <row r="7">
      <c r="A7" s="10" t="inlineStr">
        <is>
          <t>DF-2</t>
        </is>
      </c>
      <c r="B7" s="6" t="inlineStr">
        <is>
          <t>Intake &amp; ID</t>
        </is>
      </c>
      <c r="C7" s="6" t="inlineStr">
        <is>
          <t>The new .md files</t>
        </is>
      </c>
      <c r="D7" s="6" t="inlineStr">
        <is>
          <t>Log each item; assign the next free ID in its series (section 4); record rights and any superseded_doc_id.</t>
        </is>
      </c>
      <c r="E7" s="6" t="inlineStr">
        <is>
          <t>Member 2</t>
        </is>
      </c>
      <c r="F7" s="6" t="inlineStr">
        <is>
          <t>Cowork · CE-1 · books B1 · columns C1 · speeches S1 · biography G1</t>
        </is>
      </c>
      <c r="G7" s="6" t="inlineStr">
        <is>
          <t>batch-&lt;id&gt;/intake_manifest.csv</t>
        </is>
      </c>
      <c r="H7" s="6" t="inlineStr">
        <is>
          <t>Rights recorded per item; no ID reused (retired IDs included)</t>
        </is>
      </c>
    </row>
    <row r="8">
      <c r="A8" s="10" t="inlineStr">
        <is>
          <t>DF-3</t>
        </is>
      </c>
      <c r="B8" s="6" t="inlineStr">
        <is>
          <t>Enrichment</t>
        </is>
      </c>
      <c r="C8" s="6" t="inlineStr">
        <is>
          <t>data/text/&lt;ID&gt;.md</t>
        </is>
      </c>
      <c r="D8" s="6" t="inlineStr">
        <is>
          <t>Author one 15-column row per doc (section 3): keywords, topics, signature phrases, entities, stances, anecdotes, audience, register, decision signals, summary.</t>
        </is>
      </c>
      <c r="E8" s="6" t="inlineStr">
        <is>
          <t>Member 2 (Claude drafts, human verifies)</t>
        </is>
      </c>
      <c r="F8" s="6" t="inlineStr">
        <is>
          <t>Cowork · CE-1b · books B3+B4 · columns C1+C2 · speeches S1+S2 · biography G3+G4</t>
        </is>
      </c>
      <c r="G8" s="6" t="inlineStr">
        <is>
          <t>batch-&lt;id&gt;/&lt;type&gt;_enriched.xlsx</t>
        </is>
      </c>
      <c r="H8" s="6" t="inlineStr">
        <is>
          <t>Signature phrases verbatim in source; list fields valid JSON; dates stored as text</t>
        </is>
      </c>
    </row>
    <row r="9">
      <c r="A9" s="10" t="inlineStr">
        <is>
          <t>DF-4</t>
        </is>
      </c>
      <c r="B9" s="6" t="inlineStr">
        <is>
          <t>Normalise &amp; append</t>
        </is>
      </c>
      <c r="C9" s="6" t="inlineStr">
        <is>
          <t>batch-&lt;id&gt;/&lt;type&gt;_enriched.xlsx</t>
        </is>
      </c>
      <c r="D9" s="6" t="inlineStr">
        <is>
          <t>Validate the schema; repair mojibake; normalise quotes and dashes; APPEND the rows to the pinned sheet for that type. Existing rows are never edited.</t>
        </is>
      </c>
      <c r="E9" s="6" t="inlineStr">
        <is>
          <t>Member 1</t>
        </is>
      </c>
      <c r="F9" s="6" t="inlineStr">
        <is>
          <t>CE-2 / CE-4 · prompt P5 writes scripts/normalise_curated.py (missing today — D-4); P6 appends</t>
        </is>
      </c>
      <c r="G9" s="6" t="inlineStr">
        <is>
          <t>data/csv/cjp_&lt;type&gt;_curated_normalized.xlsx  (columns · books · speeches · biography)</t>
        </is>
      </c>
      <c r="H9" s="6" t="inlineStr">
        <is>
          <t>Mojibake 0; schema valid; every pre-existing row byte-identical</t>
        </is>
      </c>
    </row>
    <row r="10">
      <c r="A10" s="10" t="inlineStr">
        <is>
          <t>DF-5</t>
        </is>
      </c>
      <c r="B10" s="6" t="inlineStr">
        <is>
          <t>Book split (books only — runs BEFORE DF-2)</t>
        </is>
      </c>
      <c r="C10" s="6" t="inlineStr">
        <is>
          <t>The whole book file in batch-&lt;id&gt;/incoming/books/</t>
        </is>
      </c>
      <c r="D10" s="6" t="inlineStr">
        <is>
          <t>One document per chapter, however short. No document for cover, contents, foreword, preface, acknowledgments, appendices, bibliography, index, about-the-author, blurbs/reviews — listed as SKIP with a reason. Author's own Introduction/Prologue/Epilogue kept when it carries his argument. Collection books: one document per reprinted piece. Chapters &gt;6,000 words flagged 'long'.</t>
        </is>
      </c>
      <c r="E10" s="6" t="inlineStr">
        <is>
          <t>Member 2 (Claude-assisted)</t>
        </is>
      </c>
      <c r="F10" s="6" t="inlineStr">
        <is>
          <t>Cowork · CE-3 · books B0 · biography G0 (one run per book)</t>
        </is>
      </c>
      <c r="G10" s="6" t="inlineStr">
        <is>
          <t>batch-&lt;id&gt;/book_split/&lt;book&gt;/ch&lt;NN&gt;_&lt;slug&gt;.md + split_plan.csv + split_report.md</t>
        </is>
      </c>
      <c r="H10" s="6" t="inlineStr">
        <is>
          <t>Chapter words + skipped words = whole book (±3%); no overlap; no file for a SKIP part; team confirms</t>
        </is>
      </c>
    </row>
    <row r="11">
      <c r="A11" s="10" t="inlineStr">
        <is>
          <t>DF-6</t>
        </is>
      </c>
      <c r="B11" s="6" t="inlineStr">
        <is>
          <t>Generate corpus</t>
        </is>
      </c>
      <c r="C11" s="6" t="inlineStr">
        <is>
          <t>The 4 pinned xlsx + data/text/*.md + data/csv/retired_doc_ids.csv</t>
        </is>
      </c>
      <c r="D11" s="6" t="inlineStr">
        <is>
          <t>One paired .md (front matter, # Title, body, ## Summary, ## Notable Anecdotes) and .json (full enriched record) per row. Skips retired IDs. Strips a stray YAML block from a source. Uses the summary as the body ONLY when no source file exists.</t>
        </is>
      </c>
      <c r="E11" s="6" t="inlineStr">
        <is>
          <t>Member 1</t>
        </is>
      </c>
      <c r="F11" s="6" t="inlineStr">
        <is>
          <t>scripts/generate_corpus_from_xlsx.py  (run --dry-run first) · prompt P6</t>
        </is>
      </c>
      <c r="G11" s="6" t="inlineStr">
        <is>
          <t>corpus/&lt;type&gt;/&lt;theme_folder&gt;/&lt;ID&gt;.md + .json</t>
        </is>
      </c>
      <c r="H11" s="6" t="inlineStr">
        <is>
          <t>Report: summary-fallback 0 · retired count as expected · no bad codes or duplicate IDs</t>
        </is>
      </c>
    </row>
    <row r="12">
      <c r="A12" s="10" t="inlineStr">
        <is>
          <t>DF-7</t>
        </is>
      </c>
      <c r="B12" s="6" t="inlineStr">
        <is>
          <t>Pin</t>
        </is>
      </c>
      <c r="C12" s="6" t="inlineStr">
        <is>
          <t>The 4 pinned xlsx</t>
        </is>
      </c>
      <c r="D12" s="6" t="inlineStr">
        <is>
          <t>Per-file sha256 and per-row hashes, so 'frozen' is a claim a script can fail on.</t>
        </is>
      </c>
      <c r="E12" s="6" t="inlineStr">
        <is>
          <t>Member 1</t>
        </is>
      </c>
      <c r="F12" s="6" t="inlineStr">
        <is>
          <t>scripts/build_corpus_snapshot.py · scripts/verify_pin.py</t>
        </is>
      </c>
      <c r="G12" s="6" t="inlineStr">
        <is>
          <t>corpus_snapshot.json</t>
        </is>
      </c>
      <c r="H12" s="6" t="inlineStr">
        <is>
          <t>verify_pin exits 0</t>
        </is>
      </c>
    </row>
    <row r="13">
      <c r="A13" s="10" t="inlineStr">
        <is>
          <t>DF-8</t>
        </is>
      </c>
      <c r="B13" s="6" t="inlineStr">
        <is>
          <t>Chunk</t>
        </is>
      </c>
      <c r="C13" s="6" t="inlineStr">
        <is>
          <t>corpus/{columns,books,speeches,biography}/**/*.md</t>
        </is>
      </c>
      <c r="D13" s="6" t="inlineStr">
        <is>
          <t>Heading-aware chunks (~200–400 tokens, 40 overlap); anecdotes kept whole.</t>
        </is>
      </c>
      <c r="E13" s="6" t="inlineStr">
        <is>
          <t>Member 1</t>
        </is>
      </c>
      <c r="F13" s="6" t="inlineStr">
        <is>
          <t>scripts/chunk_corpus.py</t>
        </is>
      </c>
      <c r="G13" s="6" t="inlineStr">
        <is>
          <t>corpus/index/chunks.jsonl + chunk_index.json</t>
        </is>
      </c>
      <c r="H13" s="6" t="inlineStr">
        <is>
          <t>Every doc ≥ 1 chunk; existing chunk_ids stable</t>
        </is>
      </c>
    </row>
    <row r="14">
      <c r="A14" s="10" t="inlineStr">
        <is>
          <t>DF-9</t>
        </is>
      </c>
      <c r="B14" s="6" t="inlineStr">
        <is>
          <t>Index</t>
        </is>
      </c>
      <c r="C14" s="6" t="inlineStr">
        <is>
          <t>chunks.jsonl</t>
        </is>
      </c>
      <c r="D14" s="6" t="inlineStr">
        <is>
          <t>Dense: the WHOLE corpus in one pass with bge-base-en-v1.5 @768d. Sparse: BM25 + atomic-phrase dictionary from curated keywords and entities. Date index from front matter.</t>
        </is>
      </c>
      <c r="E14" s="6" t="inlineStr">
        <is>
          <t>Member 1</t>
        </is>
      </c>
      <c r="F14" s="6" t="inlineStr">
        <is>
          <t>scripts/build_corpus_dense.py · build_sparse_index.py · build_date_index.py — dense/sparse scripts only in the working repo for now (D-5) · prompt P7</t>
        </is>
      </c>
      <c r="G14" s="6" t="inlineStr">
        <is>
          <t>data/index/corpus_dense.npy + _meta.json · sparse_phrase_dict.json · date_index.json</t>
        </is>
      </c>
      <c r="H14" s="6" t="inlineStr">
        <is>
          <t>One encoder, one dimensionality; provenance file written</t>
        </is>
      </c>
    </row>
    <row r="15">
      <c r="A15" s="10" t="inlineStr">
        <is>
          <t>DF-10</t>
        </is>
      </c>
      <c r="B15" s="6" t="inlineStr">
        <is>
          <t>Topic map</t>
        </is>
      </c>
      <c r="C15" s="6" t="inlineStr">
        <is>
          <t>Dense index</t>
        </is>
      </c>
      <c r="D15" s="6" t="inlineStr">
        <is>
          <t>Tag new docs against the 34 current centroids; orphan census; CE-8 chooses retag / expand / rebuild. Centroids rebuilt from scratch only on the rebuild branch.</t>
        </is>
      </c>
      <c r="E15" s="6" t="inlineStr">
        <is>
          <t>Member 1 → Member 3</t>
        </is>
      </c>
      <c r="F15" s="6" t="inlineStr">
        <is>
          <t>scripts/run_ops2_orphan_census.py · build_centroids_fullcorpus.py — working repo only for now (D-5) · prompt P7</t>
        </is>
      </c>
      <c r="G15" s="6" t="inlineStr">
        <is>
          <t>data/index/topic_centroids.npy + _meta.json · orphan census</t>
        </is>
      </c>
      <c r="H15" s="6" t="inlineStr">
        <is>
          <t>Branch recorded in the decisions register</t>
        </is>
      </c>
    </row>
    <row r="16">
      <c r="A16" s="10" t="inlineStr">
        <is>
          <t>DF-11</t>
        </is>
      </c>
      <c r="B16" s="6" t="inlineStr">
        <is>
          <t>Evaluate &amp; promote</t>
        </is>
      </c>
      <c r="C16" s="6" t="inlineStr">
        <is>
          <t>Rebuilt indexes + gold set</t>
        </is>
      </c>
      <c r="D16" s="6" t="inlineStr">
        <is>
          <t>40-query eval against the standing baseline; fabrication must stay 0; no regression on pre-existing queries; tag only after attestation.</t>
        </is>
      </c>
      <c r="E16" s="6" t="inlineStr">
        <is>
          <t>Member 1 → Member 3</t>
        </is>
      </c>
      <c r="F16" s="6" t="inlineStr">
        <is>
          <t>CE-11 … CE-14 (baseline eval harness)</t>
        </is>
      </c>
      <c r="G16" s="6" t="inlineStr">
        <is>
          <t>Eval results + annotated arch-baseline-v&lt;N&gt; tag</t>
        </is>
      </c>
      <c r="H16" s="6" t="inlineStr">
        <is>
          <t>Fabrication 0; attestation recorded</t>
        </is>
      </c>
    </row>
    <row r="17">
      <c r="A17" s="11" t="n"/>
      <c r="B17" s="6" t="inlineStr">
        <is>
          <t>Legacy — do not use</t>
        </is>
      </c>
      <c r="D17" s="6" t="inlineStr">
        <is>
          <t>Phase-1 pilot material is in archive/phase1/: the 80 .txt sources, the 79-doc tree and id_map_phase1_to_live.csv (old IDs ≠ live IDs — always use the map). scripts/generate_corpus_files.py, build_topic_map.py and apply_topic_paths.py belong to that path and are not used for the live corpus.</t>
        </is>
      </c>
    </row>
    <row r="18">
      <c r="A18" s="10" t="inlineStr">
        <is>
          <t>2 · SOURCE-FILE CONTRACT — data/text/&lt;ID&gt;.md</t>
        </is>
      </c>
    </row>
    <row r="19">
      <c r="A19" s="11" t="n"/>
      <c r="B19" s="6" t="inlineStr">
        <is>
          <t>Rule</t>
        </is>
      </c>
      <c r="C19" s="6" t="inlineStr">
        <is>
          <t>Detail</t>
        </is>
      </c>
    </row>
    <row r="20">
      <c r="A20" s="11" t="n"/>
      <c r="B20" s="6" t="inlineStr">
        <is>
          <t>File name</t>
        </is>
      </c>
      <c r="C20" s="6" t="inlineStr">
        <is>
          <t>The ID with a three-digit number: BA051.md, not BA51.md. One file per document. The generator looks for exactly &lt;ID&gt;.md.</t>
        </is>
      </c>
    </row>
    <row r="21">
      <c r="A21" s="11" t="n"/>
      <c r="B21" s="6" t="inlineStr">
        <is>
          <t>First line</t>
        </is>
      </c>
      <c r="C21" s="6" t="inlineStr">
        <is>
          <t>The title. Either a plain title line (as the 785 existing columns and the new batch-04 columns do) or '# &lt;Title&gt;'. Either is dropped automatically when it matches the Title in the enriched row, because the generator writes its own heading — a title line that does NOT match is left in the body (that is defect D-10).</t>
        </is>
      </c>
    </row>
    <row r="22">
      <c r="A22" s="11" t="n"/>
      <c r="B22" s="6" t="inlineStr">
        <is>
          <t>Header block</t>
        </is>
      </c>
      <c r="C22" s="6" t="inlineStr">
        <is>
          <t>Key: value lines straight after the title — Date, Publisher, Source, By (Author, Venue, Occasion, Link are also recognised). They are stripped from the body.</t>
        </is>
      </c>
    </row>
    <row r="23">
      <c r="A23" s="11" t="n"/>
      <c r="B23" s="6" t="inlineStr">
        <is>
          <t>No YAML front matter</t>
        </is>
      </c>
      <c r="C23" s="6" t="inlineStr">
        <is>
          <t>Never open a source with a '---' block. Since 22 Sep 2026 the generator strips and reports one, but a source should not need it (defect D-1).</t>
        </is>
      </c>
    </row>
    <row r="24">
      <c r="A24" s="11" t="n"/>
      <c r="B24" s="6" t="inlineStr">
        <is>
          <t>Body</t>
        </is>
      </c>
      <c r="C24" s="6" t="inlineStr">
        <is>
          <t>Plain markdown. Section headings as '## Heading' (bold-only lines also work). Headings are where long texts split into chunks, so keep them.</t>
        </is>
      </c>
    </row>
    <row r="25">
      <c r="A25" s="11" t="n"/>
      <c r="B25" s="6" t="inlineStr">
        <is>
          <t>Encoding</t>
        </is>
      </c>
      <c r="C25" s="6" t="inlineStr">
        <is>
          <t>UTF-8. Curly quotes are fine; the normalisation step handles them.</t>
        </is>
      </c>
    </row>
    <row r="26">
      <c r="A26" s="11" t="n"/>
      <c r="B26" s="6" t="inlineStr">
        <is>
          <t>Never use as a source</t>
        </is>
      </c>
      <c r="C26" s="6" t="inlineStr">
        <is>
          <t>A generated corpus/*.md — it already contains front matter, the summary and the anecdote sections, which would be duplicated into the body.</t>
        </is>
      </c>
    </row>
    <row r="27">
      <c r="A27" s="11" t="n"/>
      <c r="B27" s="6" t="inlineStr">
        <is>
          <t>Example</t>
        </is>
      </c>
      <c r="C27" s="6" t="inlineStr">
        <is>
          <t># Can GMA Reign Beyond 2010?
Date:       2008-07-20
Publisher:  Philippine Daily Inquirer (Opinion)
Source:     With Due Respect (2011)
By: Artemio V. Panganiban
President Macapagal-Arroyo's present term expires on June 30, 2010 …
## Failed Cha-cha bid
…</t>
        </is>
      </c>
    </row>
    <row r="28">
      <c r="A28" s="10" t="inlineStr">
        <is>
          <t>3 · THE ENRICHED ROW — 15-column curated schema (one row per document)</t>
        </is>
      </c>
    </row>
    <row r="29">
      <c r="A29" s="10" t="inlineStr">
        <is>
          <t>#</t>
        </is>
      </c>
      <c r="B29" s="6" t="inlineStr">
        <is>
          <t>Column</t>
        </is>
      </c>
      <c r="C29" s="6" t="inlineStr">
        <is>
          <t>Encoding</t>
        </is>
      </c>
      <c r="D29" s="6" t="inlineStr">
        <is>
          <t>What goes in</t>
        </is>
      </c>
      <c r="F29" s="6" t="inlineStr">
        <is>
          <t>Example (BA001)</t>
        </is>
      </c>
    </row>
    <row r="30">
      <c r="A30" s="10" t="inlineStr">
        <is>
          <t>1</t>
        </is>
      </c>
      <c r="B30" s="6" t="inlineStr">
        <is>
          <t>Date</t>
        </is>
      </c>
      <c r="C30" s="6" t="inlineStr">
        <is>
          <t>TEXT 'YYYY-MM-DD'</t>
        </is>
      </c>
      <c r="D30" s="6" t="inlineStr">
        <is>
          <t>Publication or delivery date. Type it as text so the spreadsheet cannot turn it into another date. Month-only dates: see defect D-2.</t>
        </is>
      </c>
      <c r="F30" s="6" t="inlineStr">
        <is>
          <t>2008-07-20</t>
        </is>
      </c>
    </row>
    <row r="31">
      <c r="A31" s="10" t="inlineStr">
        <is>
          <t>2</t>
        </is>
      </c>
      <c r="B31" s="6" t="inlineStr">
        <is>
          <t>Title</t>
        </is>
      </c>
      <c r="C31" s="6" t="inlineStr">
        <is>
          <t>Text</t>
        </is>
      </c>
      <c r="D31" s="6" t="inlineStr">
        <is>
          <t>Title as published. Book chapters: '&lt;Book&gt; -- Ch. N: &lt;Chapter&gt;'.</t>
        </is>
      </c>
      <c r="F31" s="6" t="inlineStr">
        <is>
          <t>With Due Respect (Vol. 1) -- Ch. 6: Can GMA Reign Beyond 2010?</t>
        </is>
      </c>
    </row>
    <row r="32">
      <c r="A32" s="10" t="inlineStr">
        <is>
          <t>3</t>
        </is>
      </c>
      <c r="B32" s="6" t="inlineStr">
        <is>
          <t>Article Code</t>
        </is>
      </c>
      <c r="C32" s="6" t="inlineStr">
        <is>
          <t>Text, ^[CSBG][A-E]\d{3}$</t>
        </is>
      </c>
      <c r="D32" s="6" t="inlineStr">
        <is>
          <t>The doc ID from section 4. Format letter + theme letter + three digits. Must match the .md filename.</t>
        </is>
      </c>
      <c r="F32" s="6" t="inlineStr">
        <is>
          <t>BA001</t>
        </is>
      </c>
    </row>
    <row r="33">
      <c r="A33" s="10" t="inlineStr">
        <is>
          <t>4</t>
        </is>
      </c>
      <c r="B33" s="6" t="inlineStr">
        <is>
          <t>Link</t>
        </is>
      </c>
      <c r="C33" s="6" t="inlineStr">
        <is>
          <t>URL or blank</t>
        </is>
      </c>
      <c r="D33" s="6" t="inlineStr">
        <is>
          <t>Where the source can be checked. Blank is allowed (the biography has none).</t>
        </is>
      </c>
      <c r="F33" s="6" t="inlineStr">
        <is>
          <t>https://cjpanganiban.com/books-authored-by-…</t>
        </is>
      </c>
    </row>
    <row r="34">
      <c r="A34" s="10" t="inlineStr">
        <is>
          <t>5</t>
        </is>
      </c>
      <c r="B34" s="6" t="inlineStr">
        <is>
          <t>Keyword/s</t>
        </is>
      </c>
      <c r="C34" s="6" t="inlineStr">
        <is>
          <t>JSON array of strings</t>
        </is>
      </c>
      <c r="D34" s="6" t="inlineStr">
        <is>
          <t>Search terms, names, case titles and key quoted phrases. Multi-word entries stay whole in the sparse index.</t>
        </is>
      </c>
      <c r="F34" s="6" t="inlineStr">
        <is>
          <t>["Charter change", "Lambino v. Comelec", …]</t>
        </is>
      </c>
    </row>
    <row r="35">
      <c r="A35" s="10" t="inlineStr">
        <is>
          <t>6</t>
        </is>
      </c>
      <c r="B35" s="6" t="inlineStr">
        <is>
          <t>primary_topics</t>
        </is>
      </c>
      <c r="C35" s="6" t="inlineStr">
        <is>
          <t>JSON array of strings</t>
        </is>
      </c>
      <c r="D35" s="6" t="inlineStr">
        <is>
          <t>3–5 sentences naming what the piece is centrally about.</t>
        </is>
      </c>
      <c r="F35" s="6" t="inlineStr">
        <is>
          <t>["Chapter 6 … analyzing whether GMA could legally extend her reign …"]</t>
        </is>
      </c>
    </row>
    <row r="36">
      <c r="A36" s="10" t="inlineStr">
        <is>
          <t>7</t>
        </is>
      </c>
      <c r="B36" s="6" t="inlineStr">
        <is>
          <t>sub_topics</t>
        </is>
      </c>
      <c r="C36" s="6" t="inlineStr">
        <is>
          <t>JSON array of strings</t>
        </is>
      </c>
      <c r="D36" s="6" t="inlineStr">
        <is>
          <t>The supporting points, in the order the piece makes them.</t>
        </is>
      </c>
      <c r="F36" s="6" t="inlineStr">
        <is>
          <t>["The 2006 people's initiative …", …]</t>
        </is>
      </c>
    </row>
    <row r="37">
      <c r="A37" s="10" t="inlineStr">
        <is>
          <t>8</t>
        </is>
      </c>
      <c r="B37" s="6" t="inlineStr">
        <is>
          <t>signature_phrases</t>
        </is>
      </c>
      <c r="C37" s="6" t="inlineStr">
        <is>
          <t>JSON array of strings</t>
        </is>
      </c>
      <c r="D37" s="6" t="inlineStr">
        <is>
          <t>Phrases in HIS words, copied VERBATIM from the source — the voice palette. Checked by exact string search.</t>
        </is>
      </c>
      <c r="F37" s="6" t="inlineStr">
        <is>
          <t>["a deception and a gigantic fraud", "revision, not a mere amendment"]</t>
        </is>
      </c>
    </row>
    <row r="38">
      <c r="A38" s="10" t="inlineStr">
        <is>
          <t>9</t>
        </is>
      </c>
      <c r="B38" s="6" t="inlineStr">
        <is>
          <t>entities</t>
        </is>
      </c>
      <c r="C38" s="6" t="inlineStr">
        <is>
          <t>JSON object</t>
        </is>
      </c>
      <c r="D38" s="6" t="inlineStr">
        <is>
          <t>Keys: people, institutions, places, cases, laws_treaties, events — each a list of strings.</t>
        </is>
      </c>
      <c r="F38" s="6" t="inlineStr">
        <is>
          <t>{"people": […], "cases": ["Lambino v. Comelec"], …}</t>
        </is>
      </c>
    </row>
    <row r="39">
      <c r="A39" s="10" t="inlineStr">
        <is>
          <t>10</t>
        </is>
      </c>
      <c r="B39" s="6" t="inlineStr">
        <is>
          <t>stances</t>
        </is>
      </c>
      <c r="C39" s="6" t="inlineStr">
        <is>
          <t>JSON array of objects</t>
        </is>
      </c>
      <c r="D39" s="6" t="inlineStr">
        <is>
          <t>Each {claim, rhetorical_move, confidence}: a position he takes, how he argues it, how firmly.</t>
        </is>
      </c>
      <c r="F39" s="6" t="inlineStr">
        <is>
          <t>[{"claim": "…", "rhetorical_move": "doctrinal gatekeeping …", "confidence": "asserted …"}]</t>
        </is>
      </c>
    </row>
    <row r="40">
      <c r="A40" s="10" t="inlineStr">
        <is>
          <t>11</t>
        </is>
      </c>
      <c r="B40" s="6" t="inlineStr">
        <is>
          <t>notable_anecdotes</t>
        </is>
      </c>
      <c r="C40" s="6" t="inlineStr">
        <is>
          <t>JSON array of strings</t>
        </is>
      </c>
      <c r="D40" s="6" t="inlineStr">
        <is>
          <t>Stories and first-hand moments. Each becomes its own '###' section and chunk.</t>
        </is>
      </c>
      <c r="F40" s="6" t="inlineStr">
        <is>
          <t>["A Chief Justice's first-hand account: …"]</t>
        </is>
      </c>
    </row>
    <row r="41">
      <c r="A41" s="10" t="inlineStr">
        <is>
          <t>12</t>
        </is>
      </c>
      <c r="B41" s="6" t="inlineStr">
        <is>
          <t>target_audience</t>
        </is>
      </c>
      <c r="C41" s="6" t="inlineStr">
        <is>
          <t>JSON array of strings</t>
        </is>
      </c>
      <c r="D41" s="6" t="inlineStr">
        <is>
          <t>Who the piece was written for.</t>
        </is>
      </c>
      <c r="F41" s="6" t="inlineStr">
        <is>
          <t>["Students of constitutional law …"]</t>
        </is>
      </c>
    </row>
    <row r="42">
      <c r="A42" s="10" t="inlineStr">
        <is>
          <t>13</t>
        </is>
      </c>
      <c r="B42" s="6" t="inlineStr">
        <is>
          <t>register_markers</t>
        </is>
      </c>
      <c r="C42" s="6" t="inlineStr">
        <is>
          <t>JSON array of strings</t>
        </is>
      </c>
      <c r="D42" s="6" t="inlineStr">
        <is>
          <t>How it sounds: tone, structure, rhetorical habits.</t>
        </is>
      </c>
      <c r="F42" s="6" t="inlineStr">
        <is>
          <t>["doctrinal-political analysis register …"]</t>
        </is>
      </c>
    </row>
    <row r="43">
      <c r="A43" s="10" t="inlineStr">
        <is>
          <t>14</t>
        </is>
      </c>
      <c r="B43" s="6" t="inlineStr">
        <is>
          <t>decision_framework_signals</t>
        </is>
      </c>
      <c r="C43" s="6" t="inlineStr">
        <is>
          <t>JSON array of strings</t>
        </is>
      </c>
      <c r="D43" s="6" t="inlineStr">
        <is>
          <t>The reasoning tests and principles he applies.</t>
        </is>
      </c>
      <c r="F43" s="6" t="inlineStr">
        <is>
          <t>["amendment-vs-revision: a system shift is a revision …"]</t>
        </is>
      </c>
    </row>
    <row r="44">
      <c r="A44" s="10" t="inlineStr">
        <is>
          <t>15</t>
        </is>
      </c>
      <c r="B44" s="6" t="inlineStr">
        <is>
          <t>one_paragraph_summary</t>
        </is>
      </c>
      <c r="C44" s="6" t="inlineStr">
        <is>
          <t>Text</t>
        </is>
      </c>
      <c r="D44" s="6" t="inlineStr">
        <is>
          <t>One paragraph. Also the fallback body if no source file exists — avoid that case (retire instead, CE-18).</t>
        </is>
      </c>
      <c r="F44" s="6" t="inlineStr">
        <is>
          <t>Chapter 6 of 'With Due Respect' (Vol. 1) … asks whether GMA could legally extend her reign …</t>
        </is>
      </c>
    </row>
    <row r="45">
      <c r="A45" s="10" t="inlineStr">
        <is>
          <t>4 · DOC-ID REGISTER — next free ID per series (snapshot 22 Sep 2026)</t>
        </is>
      </c>
    </row>
    <row r="46">
      <c r="A46" s="10" t="inlineStr">
        <is>
          <t>Series</t>
        </is>
      </c>
      <c r="B46" s="6" t="inlineStr">
        <is>
          <t>Type</t>
        </is>
      </c>
      <c r="C46" s="6" t="inlineStr">
        <is>
          <t>Theme</t>
        </is>
      </c>
      <c r="D46" s="6" t="inlineStr">
        <is>
          <t>Docs in corpus now</t>
        </is>
      </c>
      <c r="E46" s="6" t="inlineStr">
        <is>
          <t>Highest ID used</t>
        </is>
      </c>
      <c r="F46" s="6" t="inlineStr">
        <is>
          <t>Next free ID</t>
        </is>
      </c>
      <c r="G46" s="6" t="inlineStr">
        <is>
          <t>Retired IDs in this series</t>
        </is>
      </c>
      <c r="H46" s="6" t="inlineStr">
        <is>
          <t>Rule</t>
        </is>
      </c>
    </row>
    <row r="47">
      <c r="A47" s="10" t="inlineStr">
        <is>
          <t>CA</t>
        </is>
      </c>
      <c r="B47" s="6" t="inlineStr">
        <is>
          <t>Column</t>
        </is>
      </c>
      <c r="C47" s="6" t="inlineStr">
        <is>
          <t>A · Liberty and rule of law</t>
        </is>
      </c>
      <c r="D47" s="6" t="n">
        <v>514</v>
      </c>
      <c r="E47" s="6" t="inlineStr">
        <is>
          <t>CA528</t>
        </is>
      </c>
      <c r="F47" s="6" t="inlineStr">
        <is>
          <t>CA544</t>
        </is>
      </c>
      <c r="G47" s="6" t="inlineStr">
        <is>
          <t>— · CA529 VOID (not his work — see defects D-8); CA530–CA543 reserved in batch-04</t>
        </is>
      </c>
      <c r="H47" s="6" t="inlineStr">
        <is>
          <t>Numbers are never reused or filled in — gaps are normal (speech numbers follow the original source list). Retired IDs stay taken. Update this table at CE-15.</t>
        </is>
      </c>
    </row>
    <row r="48">
      <c r="A48" s="10" t="inlineStr">
        <is>
          <t>CB</t>
        </is>
      </c>
      <c r="B48" s="6" t="inlineStr">
        <is>
          <t>Column</t>
        </is>
      </c>
      <c r="C48" s="6" t="inlineStr">
        <is>
          <t>B · Prosperity and economic philosophy</t>
        </is>
      </c>
      <c r="D48" s="6" t="n">
        <v>18</v>
      </c>
      <c r="E48" s="6" t="inlineStr">
        <is>
          <t>CB019</t>
        </is>
      </c>
      <c r="F48" s="6" t="inlineStr">
        <is>
          <t>CB022</t>
        </is>
      </c>
      <c r="G48" s="6" t="inlineStr">
        <is>
          <t>— · CB020–CB021 reserved in batch-04</t>
        </is>
      </c>
    </row>
    <row r="49">
      <c r="A49" s="10" t="inlineStr">
        <is>
          <t>CC</t>
        </is>
      </c>
      <c r="B49" s="6" t="inlineStr">
        <is>
          <t>Column</t>
        </is>
      </c>
      <c r="C49" s="6" t="inlineStr">
        <is>
          <t>C · Biographical and personal</t>
        </is>
      </c>
      <c r="D49" s="6" t="n">
        <v>112</v>
      </c>
      <c r="E49" s="6" t="inlineStr">
        <is>
          <t>CC117</t>
        </is>
      </c>
      <c r="F49" s="6" t="inlineStr">
        <is>
          <t>CC118</t>
        </is>
      </c>
      <c r="G49" s="6" t="inlineStr">
        <is>
          <t>—</t>
        </is>
      </c>
    </row>
    <row r="50">
      <c r="A50" s="10" t="inlineStr">
        <is>
          <t>CD</t>
        </is>
      </c>
      <c r="B50" s="6" t="inlineStr">
        <is>
          <t>Column</t>
        </is>
      </c>
      <c r="C50" s="6" t="inlineStr">
        <is>
          <t>D · FLP mission and foundation</t>
        </is>
      </c>
      <c r="D50" s="6" t="n">
        <v>24</v>
      </c>
      <c r="E50" s="6" t="inlineStr">
        <is>
          <t>CD029</t>
        </is>
      </c>
      <c r="F50" s="6" t="inlineStr">
        <is>
          <t>CD032</t>
        </is>
      </c>
      <c r="G50" s="6" t="inlineStr">
        <is>
          <t>— · CD030–CD031 reserved in batch-04</t>
        </is>
      </c>
    </row>
    <row r="51">
      <c r="A51" s="10" t="inlineStr">
        <is>
          <t>CE</t>
        </is>
      </c>
      <c r="B51" s="6" t="inlineStr">
        <is>
          <t>Column</t>
        </is>
      </c>
      <c r="C51" s="6" t="inlineStr">
        <is>
          <t>E · Current events commentary</t>
        </is>
      </c>
      <c r="D51" s="6" t="n">
        <v>117</v>
      </c>
      <c r="E51" s="6" t="inlineStr">
        <is>
          <t>CE120</t>
        </is>
      </c>
      <c r="F51" s="6" t="inlineStr">
        <is>
          <t>CE121</t>
        </is>
      </c>
      <c r="G51" s="6" t="inlineStr">
        <is>
          <t>—</t>
        </is>
      </c>
    </row>
    <row r="52">
      <c r="A52" s="10" t="inlineStr">
        <is>
          <t>BA</t>
        </is>
      </c>
      <c r="B52" s="6" t="inlineStr">
        <is>
          <t>Book chapter</t>
        </is>
      </c>
      <c r="C52" s="6" t="inlineStr">
        <is>
          <t>A · Liberty and rule of law</t>
        </is>
      </c>
      <c r="D52" s="6" t="n">
        <v>49</v>
      </c>
      <c r="E52" s="6" t="inlineStr">
        <is>
          <t>BA050</t>
        </is>
      </c>
      <c r="F52" s="6" t="inlineStr">
        <is>
          <t>BA108</t>
        </is>
      </c>
      <c r="G52" s="6" t="inlineStr">
        <is>
          <t>BA040 · BA051–BA107 reserved in batch-04</t>
        </is>
      </c>
    </row>
    <row r="53">
      <c r="A53" s="10" t="inlineStr">
        <is>
          <t>BB</t>
        </is>
      </c>
      <c r="B53" s="6" t="inlineStr">
        <is>
          <t>Book chapter</t>
        </is>
      </c>
      <c r="C53" s="6" t="inlineStr">
        <is>
          <t>B · Prosperity and economic philosophy</t>
        </is>
      </c>
      <c r="D53" s="6" t="n">
        <v>8</v>
      </c>
      <c r="E53" s="6" t="inlineStr">
        <is>
          <t>BB008</t>
        </is>
      </c>
      <c r="F53" s="6" t="inlineStr">
        <is>
          <t>BB045</t>
        </is>
      </c>
      <c r="G53" s="6" t="inlineStr">
        <is>
          <t>— · BB009–BB044 reserved in batch-04</t>
        </is>
      </c>
    </row>
    <row r="54">
      <c r="A54" s="10" t="inlineStr">
        <is>
          <t>BC</t>
        </is>
      </c>
      <c r="B54" s="6" t="inlineStr">
        <is>
          <t>Book chapter</t>
        </is>
      </c>
      <c r="C54" s="6" t="inlineStr">
        <is>
          <t>C · Biographical and personal</t>
        </is>
      </c>
      <c r="D54" s="6" t="n">
        <v>20</v>
      </c>
      <c r="E54" s="6" t="inlineStr">
        <is>
          <t>BC022</t>
        </is>
      </c>
      <c r="F54" s="6" t="inlineStr">
        <is>
          <t>BC047</t>
        </is>
      </c>
      <c r="G54" s="6" t="inlineStr">
        <is>
          <t>BC009, BC010 · BC023–BC046 reserved in batch-04</t>
        </is>
      </c>
    </row>
    <row r="55">
      <c r="A55" s="10" t="inlineStr">
        <is>
          <t>BD</t>
        </is>
      </c>
      <c r="B55" s="6" t="inlineStr">
        <is>
          <t>Book chapter</t>
        </is>
      </c>
      <c r="C55" s="6" t="inlineStr">
        <is>
          <t>D · FLP mission and foundation</t>
        </is>
      </c>
      <c r="D55" s="6" t="n">
        <v>25</v>
      </c>
      <c r="E55" s="6" t="inlineStr">
        <is>
          <t>BD026</t>
        </is>
      </c>
      <c r="F55" s="6" t="inlineStr">
        <is>
          <t>BD072</t>
        </is>
      </c>
      <c r="G55" s="6" t="inlineStr">
        <is>
          <t>BD018 · BD027–BD071 reserved in batch-04</t>
        </is>
      </c>
    </row>
    <row r="56">
      <c r="A56" s="10" t="inlineStr">
        <is>
          <t>BE</t>
        </is>
      </c>
      <c r="B56" s="6" t="inlineStr">
        <is>
          <t>Book chapter</t>
        </is>
      </c>
      <c r="C56" s="6" t="inlineStr">
        <is>
          <t>E · Current events commentary</t>
        </is>
      </c>
      <c r="D56" s="6" t="n">
        <v>29</v>
      </c>
      <c r="E56" s="6" t="inlineStr">
        <is>
          <t>BE029</t>
        </is>
      </c>
      <c r="F56" s="6" t="inlineStr">
        <is>
          <t>BE035</t>
        </is>
      </c>
      <c r="G56" s="6" t="inlineStr">
        <is>
          <t>— · BE030–BE034 reserved in batch-04</t>
        </is>
      </c>
    </row>
    <row r="57">
      <c r="A57" s="10" t="inlineStr">
        <is>
          <t>SA</t>
        </is>
      </c>
      <c r="B57" s="6" t="inlineStr">
        <is>
          <t>Speech</t>
        </is>
      </c>
      <c r="C57" s="6" t="inlineStr">
        <is>
          <t>A · Liberty and rule of law</t>
        </is>
      </c>
      <c r="D57" s="6" t="n">
        <v>43</v>
      </c>
      <c r="E57" s="6" t="inlineStr">
        <is>
          <t>SA149</t>
        </is>
      </c>
      <c r="F57" s="6" t="inlineStr">
        <is>
          <t>SA150</t>
        </is>
      </c>
      <c r="G57" s="6" t="inlineStr">
        <is>
          <t>SA085</t>
        </is>
      </c>
    </row>
    <row r="58">
      <c r="A58" s="10" t="inlineStr">
        <is>
          <t>SB</t>
        </is>
      </c>
      <c r="B58" s="6" t="inlineStr">
        <is>
          <t>Speech</t>
        </is>
      </c>
      <c r="C58" s="6" t="inlineStr">
        <is>
          <t>B · Prosperity and economic philosophy</t>
        </is>
      </c>
      <c r="D58" s="6" t="n">
        <v>21</v>
      </c>
      <c r="E58" s="6" t="inlineStr">
        <is>
          <t>SB115</t>
        </is>
      </c>
      <c r="F58" s="6" t="inlineStr">
        <is>
          <t>SB116</t>
        </is>
      </c>
      <c r="G58" s="6" t="inlineStr">
        <is>
          <t>—</t>
        </is>
      </c>
    </row>
    <row r="59">
      <c r="A59" s="10" t="inlineStr">
        <is>
          <t>SC</t>
        </is>
      </c>
      <c r="B59" s="6" t="inlineStr">
        <is>
          <t>Speech</t>
        </is>
      </c>
      <c r="C59" s="6" t="inlineStr">
        <is>
          <t>C · Biographical and personal</t>
        </is>
      </c>
      <c r="D59" s="6" t="n">
        <v>58</v>
      </c>
      <c r="E59" s="6" t="inlineStr">
        <is>
          <t>SC153</t>
        </is>
      </c>
      <c r="F59" s="6" t="inlineStr">
        <is>
          <t>SC154</t>
        </is>
      </c>
      <c r="G59" s="6" t="inlineStr">
        <is>
          <t>—</t>
        </is>
      </c>
    </row>
    <row r="60">
      <c r="A60" s="10" t="inlineStr">
        <is>
          <t>SD</t>
        </is>
      </c>
      <c r="B60" s="6" t="inlineStr">
        <is>
          <t>Speech</t>
        </is>
      </c>
      <c r="C60" s="6" t="inlineStr">
        <is>
          <t>D · FLP mission and foundation</t>
        </is>
      </c>
      <c r="D60" s="6" t="n">
        <v>23</v>
      </c>
      <c r="E60" s="6" t="inlineStr">
        <is>
          <t>SD150</t>
        </is>
      </c>
      <c r="F60" s="6" t="inlineStr">
        <is>
          <t>SD151</t>
        </is>
      </c>
      <c r="G60" s="6" t="inlineStr">
        <is>
          <t>—</t>
        </is>
      </c>
    </row>
    <row r="61">
      <c r="A61" s="10" t="inlineStr">
        <is>
          <t>SE</t>
        </is>
      </c>
      <c r="B61" s="6" t="inlineStr">
        <is>
          <t>Speech</t>
        </is>
      </c>
      <c r="C61" s="6" t="inlineStr">
        <is>
          <t>E · Current events commentary</t>
        </is>
      </c>
      <c r="D61" s="6" t="n">
        <v>8</v>
      </c>
      <c r="E61" s="6" t="inlineStr">
        <is>
          <t>SE108</t>
        </is>
      </c>
      <c r="F61" s="6" t="inlineStr">
        <is>
          <t>SE109</t>
        </is>
      </c>
      <c r="G61" s="6" t="inlineStr">
        <is>
          <t>—</t>
        </is>
      </c>
    </row>
    <row r="62">
      <c r="A62" s="10" t="inlineStr">
        <is>
          <t>GC</t>
        </is>
      </c>
      <c r="B62" s="6" t="inlineStr">
        <is>
          <t>Biography chapter</t>
        </is>
      </c>
      <c r="C62" s="6" t="inlineStr">
        <is>
          <t>C · Biographical and personal</t>
        </is>
      </c>
      <c r="D62" s="6" t="n">
        <v>35</v>
      </c>
      <c r="E62" s="6" t="inlineStr">
        <is>
          <t>GC035</t>
        </is>
      </c>
      <c r="F62" s="6" t="inlineStr">
        <is>
          <t>GC036</t>
        </is>
      </c>
      <c r="G62" s="6" t="inlineStr">
        <is>
          <t>—</t>
        </is>
      </c>
    </row>
    <row r="63">
      <c r="A63" s="10" t="inlineStr">
        <is>
          <t>Total</t>
        </is>
      </c>
      <c r="D63" s="6">
        <f>SUM(D47:D62)</f>
        <v/>
      </c>
      <c r="G63" s="6" t="inlineStr">
        <is>
          <t>5 retired · CA529 void · 185 staged in batch-04</t>
        </is>
      </c>
    </row>
    <row r="64">
      <c r="A64" s="11" t="n"/>
      <c r="D64" s="6">
        <f>SUMIFS(D47:D62,B47:B62,"Column")&amp;" columns · "&amp;SUMIFS(D47:D62,B47:B62,"Book chapter")&amp;" book chapters · "&amp;SUMIFS(D47:D62,B47:B62,"Speech")&amp;" speeches · "&amp;SUMIFS(D47:D62,B47:B62,"Biography chapter")&amp;" biography chapters"</f>
        <v/>
      </c>
    </row>
    <row r="65">
      <c r="A65" s="11" t="n"/>
      <c r="B65" s="6" t="inlineStr">
        <is>
          <t>Staged in batch-04 (23 Sep)</t>
        </is>
      </c>
      <c r="D65" s="6" t="inlineStr">
        <is>
          <t>185 documents are prepared but NOT merged: 18 columns (CA530–CA543, CB020–CB021, CD030–CD031; .md + enriched rows + C2 QA passed) and 167 book chapters from 8 books (split and intake done; B2/B3 still to run). They join the corpus at CE-4 (prompt P6), after correction batch-03 — the corpus becomes 1,289.</t>
        </is>
      </c>
    </row>
    <row r="66">
      <c r="A66" s="10" t="inlineStr">
        <is>
          <t>5 · RETIRED IDs — mirror of data/csv/retired_doc_ids.csv (the CSV is the source of truth)</t>
        </is>
      </c>
    </row>
    <row r="67">
      <c r="A67" s="10" t="inlineStr">
        <is>
          <t>ID</t>
        </is>
      </c>
      <c r="B67" s="6" t="inlineStr">
        <is>
          <t>Type</t>
        </is>
      </c>
      <c r="C67" s="6" t="inlineStr">
        <is>
          <t>Title</t>
        </is>
      </c>
      <c r="D67" s="6" t="inlineStr">
        <is>
          <t>Reason</t>
        </is>
      </c>
      <c r="E67" s="6" t="inlineStr">
        <is>
          <t>Superseded by</t>
        </is>
      </c>
      <c r="F67" s="6" t="inlineStr">
        <is>
          <t>Retired on</t>
        </is>
      </c>
      <c r="G67" s="6" t="inlineStr">
        <is>
          <t>Where the files went</t>
        </is>
      </c>
    </row>
    <row r="68">
      <c r="A68" s="10" t="inlineStr">
        <is>
          <t>BA040</t>
        </is>
      </c>
      <c r="B68" s="6" t="inlineStr">
        <is>
          <t>Book</t>
        </is>
      </c>
      <c r="C68" s="6" t="inlineStr">
        <is>
          <t>A Centenary of Justice — Ch. 20: SWS v. Comelec — May Election Surveys Be Banned?</t>
        </is>
      </c>
      <c r="D68" s="6" t="inlineStr">
        <is>
          <t>Summary only; chapter text not in data/ and not online. The online SC decision is Justice Mendoza's, not his words.</t>
        </is>
      </c>
      <c r="E68" s="6" t="inlineStr">
        <is>
          <t>—</t>
        </is>
      </c>
      <c r="F68" s="6" t="inlineStr">
        <is>
          <t>2026-09-22</t>
        </is>
      </c>
      <c r="G68" s="6" t="inlineStr">
        <is>
          <t>data/retired/corpus/…</t>
        </is>
      </c>
    </row>
    <row r="69">
      <c r="A69" s="10" t="inlineStr">
        <is>
          <t>BC009</t>
        </is>
      </c>
      <c r="B69" s="6" t="inlineStr">
        <is>
          <t>Book</t>
        </is>
      </c>
      <c r="C69" s="6" t="inlineStr">
        <is>
          <t>A Centenary of Justice — Appendix D: MPGR (tribute to Justice Minerva P. Gonzaga-Reyes)</t>
        </is>
      </c>
      <c r="D69" s="6" t="inlineStr">
        <is>
          <t>Summary only; not in data/ and not online.</t>
        </is>
      </c>
      <c r="E69" s="6" t="inlineStr">
        <is>
          <t>—</t>
        </is>
      </c>
      <c r="F69" s="6" t="inlineStr">
        <is>
          <t>2026-09-22</t>
        </is>
      </c>
      <c r="G69" s="6" t="inlineStr">
        <is>
          <t>data/retired/corpus/…</t>
        </is>
      </c>
    </row>
    <row r="70">
      <c r="A70" s="10" t="inlineStr">
        <is>
          <t>BC010</t>
        </is>
      </c>
      <c r="B70" s="6" t="inlineStr">
        <is>
          <t>Book</t>
        </is>
      </c>
      <c r="C70" s="6" t="inlineStr">
        <is>
          <t>A Centenary of Justice — Back Matter: Davide Foreword, Accolades &amp; Aquino Book Review</t>
        </is>
      </c>
      <c r="D70" s="6" t="inlineStr">
        <is>
          <t>Summary only; written about the book by others.</t>
        </is>
      </c>
      <c r="E70" s="6" t="inlineStr">
        <is>
          <t>—</t>
        </is>
      </c>
      <c r="F70" s="6" t="inlineStr">
        <is>
          <t>2026-09-22</t>
        </is>
      </c>
      <c r="G70" s="6" t="inlineStr">
        <is>
          <t>data/retired/corpus/…</t>
        </is>
      </c>
    </row>
    <row r="71">
      <c r="A71" s="10" t="inlineStr">
        <is>
          <t>BD018</t>
        </is>
      </c>
      <c r="B71" s="6" t="inlineStr">
        <is>
          <t>Book</t>
        </is>
      </c>
      <c r="C71" s="6" t="inlineStr">
        <is>
          <t>A Centenary of Justice — Front Matter (Cover, Centennial Prayer, Contents, Foreword, Preface)</t>
        </is>
      </c>
      <c r="D71" s="6" t="inlineStr">
        <is>
          <t>Summary only; not in data/ and not online.</t>
        </is>
      </c>
      <c r="E71" s="6" t="inlineStr">
        <is>
          <t>—</t>
        </is>
      </c>
      <c r="F71" s="6" t="inlineStr">
        <is>
          <t>2026-09-22</t>
        </is>
      </c>
      <c r="G71" s="6" t="inlineStr">
        <is>
          <t>data/retired/corpus/…</t>
        </is>
      </c>
    </row>
    <row r="72">
      <c r="A72" s="10" t="inlineStr">
        <is>
          <t>SA085</t>
        </is>
      </c>
      <c r="B72" s="6" t="inlineStr">
        <is>
          <t>Speech</t>
        </is>
      </c>
      <c r="C72" s="6" t="inlineStr">
        <is>
          <t>How the Judiciary Can Help the Economy (29 Nov 2012)</t>
        </is>
      </c>
      <c r="D72" s="6" t="inlineStr">
        <is>
          <t>Duplicate — same title, date and link as SB085, which has the full text (1,467 words).</t>
        </is>
      </c>
      <c r="E72" s="6" t="inlineStr">
        <is>
          <t>SB085</t>
        </is>
      </c>
      <c r="F72" s="6" t="inlineStr">
        <is>
          <t>2026-09-22</t>
        </is>
      </c>
      <c r="G72" s="6" t="inlineStr">
        <is>
          <t>data/retired/corpus/…</t>
        </is>
      </c>
    </row>
    <row r="73">
      <c r="A73" s="11" t="n"/>
      <c r="B73" s="6" t="inlineStr">
        <is>
          <t>Recover later</t>
        </is>
      </c>
      <c r="D73" s="6" t="inlineStr">
        <is>
          <t>If a scan of A Centenary of Justice turns up, BA040 and BC009 are worth recovering (both in his own words): add the .md, remove the row from the retired CSV, and run it as a CE-17 correction — the IDs were never reused.</t>
        </is>
      </c>
    </row>
    <row r="74">
      <c r="A74" s="10" t="inlineStr">
        <is>
          <t>6 · KNOWN DATA DEFECTS AND OPEN ITEMS (found 22 Sep 2026 · updated 23 Sep 2026)</t>
        </is>
      </c>
    </row>
    <row r="75">
      <c r="A75" s="10" t="inlineStr">
        <is>
          <t>ID</t>
        </is>
      </c>
      <c r="B75" s="6" t="inlineStr">
        <is>
          <t>Defect</t>
        </is>
      </c>
      <c r="C75" s="6" t="inlineStr">
        <is>
          <t>Where</t>
        </is>
      </c>
      <c r="D75" s="6" t="inlineStr">
        <is>
          <t>Impact</t>
        </is>
      </c>
      <c r="E75" s="6" t="inlineStr">
        <is>
          <t>Status</t>
        </is>
      </c>
      <c r="F75" s="6" t="inlineStr">
        <is>
          <t>Fix path</t>
        </is>
      </c>
      <c r="G75" s="6" t="inlineStr">
        <is>
          <t>Decision needed</t>
        </is>
      </c>
    </row>
    <row r="76">
      <c r="A76" s="10" t="inlineStr">
        <is>
          <t>D-1</t>
        </is>
      </c>
      <c r="B76" s="6" t="inlineStr">
        <is>
          <t>YAML front matter from the source leaked into the body</t>
        </is>
      </c>
      <c r="C76" s="6" t="inlineStr">
        <is>
          <t>22 'A Centenary of Justice' chapters: BA032–BA039, BB006–BB007, BC006–BC008, BD010–BD017, BD019</t>
        </is>
      </c>
      <c r="D76" s="6" t="inlineStr">
        <is>
          <t>Header junk ('book_id:', 'to be filled by Stage 1') is in the corpus .md and in the first chunk of each chapter, so it is embedded and retrievable.</t>
        </is>
      </c>
      <c r="E76" s="6" t="inlineStr">
        <is>
          <t>Generator FIXED (strips + reports). Corpus + index still OPEN</t>
        </is>
      </c>
      <c r="F76" s="6" t="inlineStr">
        <is>
          <t>Correction batch-03 (CE-17)</t>
        </is>
      </c>
      <c r="G76" s="6" t="inlineStr">
        <is>
          <t>—</t>
        </is>
      </c>
    </row>
    <row r="77">
      <c r="A77" s="10" t="inlineStr">
        <is>
          <t>D-2</t>
        </is>
      </c>
      <c r="B77" s="6" t="inlineStr">
        <is>
          <t>Wrong date on the same 22 chapters</t>
        </is>
      </c>
      <c r="C77" s="6" t="inlineStr">
        <is>
          <t>cjp_books_curated_normalized.xlsx, Date column</t>
        </is>
      </c>
      <c r="D77" s="6" t="inlineStr">
        <is>
          <t>Sheet says 2026-01-12; source says publication_date 2001-12. A 'when did he write…' answer could say 2026. The date index ships dark, so not yet live there.</t>
        </is>
      </c>
      <c r="E77" s="6" t="inlineStr">
        <is>
          <t>OPEN</t>
        </is>
      </c>
      <c r="F77" s="6" t="inlineStr">
        <is>
          <t>Correction batch-03 (CE-17)</t>
        </is>
      </c>
      <c r="G77" s="6" t="inlineStr">
        <is>
          <t>Proposed: 2001-12-01, month precision only — awaiting sign-off</t>
        </is>
      </c>
    </row>
    <row r="78">
      <c r="A78" s="10" t="inlineStr">
        <is>
          <t>D-3</t>
        </is>
      </c>
      <c r="B78" s="6" t="inlineStr">
        <is>
          <t>Retired docs still in the index</t>
        </is>
      </c>
      <c r="C78" s="6" t="inlineStr">
        <is>
          <t>corpus/index/chunks.jsonl, corpus_dense.npy, sparse index — 27 chunks</t>
        </is>
      </c>
      <c r="D78" s="6" t="inlineStr">
        <is>
          <t>BA040, BC009, BC010, BD018, SA085 are still retrievable until the re-chunk and re-embed.</t>
        </is>
      </c>
      <c r="E78" s="6" t="inlineStr">
        <is>
          <t>OPEN</t>
        </is>
      </c>
      <c r="F78" s="6" t="inlineStr">
        <is>
          <t>Correction batch-03 (CE-5, CE-6)</t>
        </is>
      </c>
      <c r="G78" s="6" t="inlineStr">
        <is>
          <t>—</t>
        </is>
      </c>
    </row>
    <row r="79">
      <c r="A79" s="10" t="inlineStr">
        <is>
          <t>D-4</t>
        </is>
      </c>
      <c r="B79" s="6" t="inlineStr">
        <is>
          <t>Normalisation script is not in the repo</t>
        </is>
      </c>
      <c r="C79" s="6" t="inlineStr">
        <is>
          <t>C:\Reachy Mini Project 2026\scripts</t>
        </is>
      </c>
      <c r="D79" s="6" t="inlineStr">
        <is>
          <t>CE-2 cannot be re-run from a clean clone; the W1.2 output exists but the code that made it does not.</t>
        </is>
      </c>
      <c r="E79" s="6" t="inlineStr">
        <is>
          <t>OPEN</t>
        </is>
      </c>
      <c r="F79" s="6" t="inlineStr">
        <is>
          <t>Prompt P5 (BATCH-04_PROMPTS.md) writes scripts/normalise_curated.py to the CE-2 spec, before batch-04 is merged</t>
        </is>
      </c>
      <c r="G79" s="6" t="inlineStr">
        <is>
          <t>—</t>
        </is>
      </c>
    </row>
    <row r="80">
      <c r="A80" s="10" t="inlineStr">
        <is>
          <t>D-5</t>
        </is>
      </c>
      <c r="B80" s="6" t="inlineStr">
        <is>
          <t>Final Project Folder was behind the working repo</t>
        </is>
      </c>
      <c r="C80" s="6" t="inlineStr">
        <is>
          <t>Final Project Folder vs C:\Reachy Mini Project 2026</t>
        </is>
      </c>
      <c r="D80" s="6" t="inlineStr">
        <is>
          <t>Data, corpus, corpus scripts and the retired register now synced (22 Sep, hash-identical; regen from the folder alone verified). Still missing: app/embeddings.py, app/retrieval.py, app/sparse.py and the dense/sparse/centroid build scripts.</t>
        </is>
      </c>
      <c r="E80" s="6" t="inlineStr">
        <is>
          <t>PARTLY DONE — data + corpus synced; code OPEN</t>
        </is>
      </c>
      <c r="F80" s="6" t="inlineStr">
        <is>
          <t>Reconcile the two app folders, then move the index-build scripts across</t>
        </is>
      </c>
      <c r="G80" s="6" t="inlineStr">
        <is>
          <t>DECIDED: the Final Project Folder is the base for the online repo</t>
        </is>
      </c>
    </row>
    <row r="81">
      <c r="A81" s="10" t="inlineStr">
        <is>
          <t>D-6</t>
        </is>
      </c>
      <c r="B81" s="6" t="inlineStr">
        <is>
          <t>Uncommitted changes</t>
        </is>
      </c>
      <c r="C81" s="6" t="inlineStr">
        <is>
          <t>Final Project Folder and C:\Reachy Mini Project 2026</t>
        </is>
      </c>
      <c r="D81" s="6" t="inlineStr">
        <is>
          <t>Generator changes, retired register, data/retired/, archive/phase1/, batch-04/ and the synced data/corpus exist only on this laptop.</t>
        </is>
      </c>
      <c r="E81" s="6" t="inlineStr">
        <is>
          <t>OPEN</t>
        </is>
      </c>
      <c r="F81" s="6" t="inlineStr">
        <is>
          <t>Commit as one labelled change, then push</t>
        </is>
      </c>
      <c r="G81" s="6" t="inlineStr">
        <is>
          <t>—</t>
        </is>
      </c>
    </row>
    <row r="82">
      <c r="A82" s="10" t="inlineStr">
        <is>
          <t>D-7</t>
        </is>
      </c>
      <c r="B82" s="6" t="inlineStr">
        <is>
          <t>109 docs have no clean YYYY-MM-DD date</t>
        </is>
      </c>
      <c r="C82" s="6" t="inlineStr">
        <is>
          <t>Pinned xlsx Date column: books 58 text dates (e.g. 9/30/2007) + 20 numbers (e.g. 2003.0); biography 31 free-text or bare-year values</t>
        </is>
      </c>
      <c r="D82" s="6" t="inlineStr">
        <is>
          <t>The generator keeps the first 10 characters, so the corpus shows dates like '2003.0' or 'Childhood,'. Wrong dates reach the date index and any 'when' answer.</t>
        </is>
      </c>
      <c r="E82" s="6" t="inlineStr">
        <is>
          <t>OPEN</t>
        </is>
      </c>
      <c r="F82" s="6" t="inlineStr">
        <is>
          <t>Correction batch-03 (CE-17), with D-2 — same fix: text YYYY-MM-DD + a date-precision note</t>
        </is>
      </c>
      <c r="G82" s="6" t="inlineStr">
        <is>
          <t>Same rule as D-2: month-only → YYYY-MM-01, year-only → YYYY-01-01</t>
        </is>
      </c>
    </row>
    <row r="83">
      <c r="A83" s="10" t="inlineStr">
        <is>
          <t>D-8</t>
        </is>
      </c>
      <c r="B83" s="6" t="inlineStr">
        <is>
          <t>Phase-1 column CA016 is NOT by CJ Panganiban</t>
        </is>
      </c>
      <c r="C83" s="6" t="inlineStr">
        <is>
          <t>archive/phase1/data_text/CA016.txt — 'Rule of, or by, law' (Inquirer, 2 Feb 2018)</t>
        </is>
      </c>
      <c r="D83" s="6" t="inlineStr">
        <is>
          <t>Verified against the article page on 23 Sep: it is by Michael L. Tan, column 'Pinoy Kasi'. Phase 1 stored it as CA016 by mistake; the June rebuild correctly dropped it. Staged briefly as CA529 and withdrawn — the live corpus never held it.</t>
        </is>
      </c>
      <c r="E83" s="6" t="inlineStr">
        <is>
          <t>CLOSED 23 Sep — withdrawn from batch-04</t>
        </is>
      </c>
      <c r="F83" s="6" t="inlineStr">
        <is>
          <t>Files and note in batch-04/_rejected/; archive README and ID map corrected</t>
        </is>
      </c>
      <c r="G83" s="6" t="inlineStr">
        <is>
          <t>ID CA529 is void — never reuse</t>
        </is>
      </c>
    </row>
    <row r="84">
      <c r="A84" s="10" t="inlineStr">
        <is>
          <t>D-9</t>
        </is>
      </c>
      <c r="B84" s="6" t="inlineStr">
        <is>
          <t>Word-conversion markup in the 15-chapter biography sources</t>
        </is>
      </c>
      <c r="C84" s="6" t="inlineStr">
        <is>
          <t>data/text/GC021.md … GC035.md (\. escapes, stray __ and * pairs)</t>
        </is>
      </c>
      <c r="D84" s="6" t="inlineStr">
        <is>
          <t>The markup is in the corpus text and in 234 chunks, so it is embedded and can surface in quotes and summaries.</t>
        </is>
      </c>
      <c r="E84" s="6" t="inlineStr">
        <is>
          <t>OPEN</t>
        </is>
      </c>
      <c r="F84" s="6" t="inlineStr">
        <is>
          <t>Correction batch-03 (CE-17): clean the 15 sources, regenerate, re-chunk, re-embed; B0/G0/B2/G2/S1 now strip it for new material</t>
        </is>
      </c>
      <c r="G84" s="6" t="inlineStr">
        <is>
          <t>—</t>
        </is>
      </c>
    </row>
    <row r="85">
      <c r="A85" s="10" t="inlineStr">
        <is>
          <t>D-10</t>
        </is>
      </c>
      <c r="B85" s="6" t="inlineStr">
        <is>
          <t>Duplicate chapter heading in the body of 97 book documents</t>
        </is>
      </c>
      <c r="C85" s="6" t="inlineStr">
        <is>
          <t>data/text/B*.md — 111 sources had an H1 that did not match the sheet Title, so the generator left it in the body</t>
        </is>
      </c>
      <c r="D85" s="6" t="inlineStr">
        <is>
          <t>Each affected corpus doc repeats its chapter heading inside the body, and that line is embedded in its first chunk.</t>
        </is>
      </c>
      <c r="E85" s="6" t="inlineStr">
        <is>
          <t>SOURCES FIXED 23 Sep (H1 set to the sheet title; originals in batch-04/backup_data_text_books_2026-09-23 with change_log.csv). Corpus + index OPEN</t>
        </is>
      </c>
      <c r="F85" s="6" t="inlineStr">
        <is>
          <t>Correction batch-03 (CE-17), with D-1: regenerating removes the duplicate heading from 97 docs and adds nothing</t>
        </is>
      </c>
      <c r="G85" s="6"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3"/>
  <sheetViews>
    <sheetView workbookViewId="0">
      <pane ySplit="4" topLeftCell="A5" activePane="bottomLeft" state="frozen"/>
      <selection pane="bottomLeft" activeCell="A1" sqref="A1"/>
    </sheetView>
  </sheetViews>
  <sheetFormatPr baseColWidth="8" defaultRowHeight="15"/>
  <cols>
    <col width="9" customWidth="1" min="1" max="1"/>
    <col width="9" customWidth="1" min="2" max="2"/>
    <col width="34" customWidth="1" min="3" max="3"/>
    <col width="52" customWidth="1" min="4" max="4"/>
    <col width="8" customWidth="1" min="5" max="5"/>
    <col width="20" customWidth="1" min="6" max="6"/>
    <col width="78" customWidth="1" min="7" max="7"/>
    <col width="40" customWidth="1" min="8" max="8"/>
  </cols>
  <sheetData>
    <row r="1">
      <c r="A1" s="10" t="inlineStr">
        <is>
          <t>Intake prompts — paste-ready Claude prompts per source type (books · online columns · speeches · biography · shared merge)</t>
        </is>
      </c>
    </row>
    <row r="2">
      <c r="A2" s="10" t="inlineStr">
        <is>
          <t>Run the track that matches the material, then the shared merge. Each prompt starts with BOUNDARIES, gives numbered STEPS and SELF-CHECKS, lists what to FLAG rather than fix, and STOPS for a human check. Copy the text in column E into Cowork (or Claude Code where marked). The same prompts are in batch-04/BATCH-04_*_PROMPTS.md. Paths are relative to the Final Project Folder.</t>
        </is>
      </c>
    </row>
    <row r="3">
      <c r="A3" s="11" t="n"/>
    </row>
    <row r="4">
      <c r="A4" s="12" t="inlineStr">
        <is>
          <t>ID</t>
        </is>
      </c>
      <c r="B4" s="12" t="inlineStr">
        <is>
          <t>Step</t>
        </is>
      </c>
      <c r="C4" s="12" t="inlineStr">
        <is>
          <t>Runbook step</t>
        </is>
      </c>
      <c r="D4" s="12" t="inlineStr">
        <is>
          <t>Tool · who</t>
        </is>
      </c>
      <c r="E4" s="12" t="inlineStr">
        <is>
          <t>Paste-ready prompt (copy all of it)</t>
        </is>
      </c>
      <c r="F4" s="12" t="inlineStr">
        <is>
          <t>Output</t>
        </is>
      </c>
      <c r="G4" s="12" t="inlineStr">
        <is>
          <t>Human check</t>
        </is>
      </c>
      <c r="H4" s="12" t="inlineStr">
        <is>
          <t>Status</t>
        </is>
      </c>
    </row>
    <row r="5">
      <c r="A5" s="12" t="inlineStr">
        <is>
          <t>BOOKS — by CJ Panganiban · file: BATCH-04_BOOKS_PROMPTS.md · one document per chapter; forewords and appendices skipped  ·  23 Sep: B0 + B1 done for 8 books (167 chapters, BA051–BA107 · BB009–BB044 · BC023–BC046 · BD027–BD071 · BE030–BE034); B2 next</t>
        </is>
      </c>
      <c r="B5" s="13" t="n"/>
      <c r="C5" s="13" t="n"/>
      <c r="D5" s="13" t="n"/>
      <c r="E5" s="13" t="n"/>
      <c r="F5" s="13" t="n"/>
      <c r="G5" s="13" t="n"/>
      <c r="H5" s="13" t="n"/>
    </row>
    <row r="6">
      <c r="A6" s="6" t="inlineStr">
        <is>
          <t>B0</t>
        </is>
      </c>
      <c r="B6" s="6" t="inlineStr">
        <is>
          <t>Split each book into chapter documents</t>
        </is>
      </c>
      <c r="C6" s="6" t="inlineStr">
        <is>
          <t>CE-3</t>
        </is>
      </c>
      <c r="D6" s="6" t="inlineStr">
        <is>
          <t>Cowork · Member 2</t>
        </is>
      </c>
      <c r="E6" s="6" t="inlineStr">
        <is>
          <t>B0 — BOOK SPLIT: separate &lt;book file&gt; into one document per chapter
BOUNDARIES
- Input: ONE file in batch-04/incoming/books/. Output only under batch-04/book_split/&lt;book_slug&gt;/.
- Do not assign IDs, do not enrich, and do not touch data/ or corpus/.
- Do not edit, shorten, merge or reorder the author's text. Only cut it at chapter boundaries and remove
  running headers, footers, page numbers and file-conversion markup (backslash escapes like "\." or "\-",
  stray "__" or "*" pairs left by Word/PDF conversion — defect D-9 came from exactly this).
RULES
1. ONE CHAPTER = ONE DOCUMENT, whatever its length. A 400-word chapter is still its own document.
   Never merge short chapters together, and never split a chapter into parts in this step.
2. DO NOT CREATE A DOCUMENT for parts with little or no content of his own. Classify them SKIP:
   cover · title and copyright pages · dedication · epigraph · table of contents · foreword · preface ·
   acknowledgments · introduction or commentary written by someone else · list of photos/figures ·
   photo sections · appendices and annexes · bibliography / references · glossary · index ·
   about the author · blurbs, accolades and book reviews · publisher's notes.
3. KEEP AS A CHAPTER the author's own Introduction, Prologue or Epilogue when it carries his argument
   or story (not just thanks or a list of contents) — flag it so the team can confirm.
4. SKIPPED BUT WORTH A LOOK: if a skipped part is a complete piece in CJP's own words of 800+ words
   (a full speech, tribute or column reproduced in an appendix), still SKIP it, but mark it
   "candidate" so the team can decide to add it later as a separate document.
5. COLLECTION BOOKS (e.g. With Due Respect, which reprint his columns or speeches): each reprinted piece is
   one chapter document. Record its original date and outlet if the book prints them, so B1 can check
   it against the 785 columns and 153 speeches already in the corpus.
6. VERY LONG CHAPTERS: a chapter over 6,000 words stays ONE document here; mark it "long" so the team
   can decide at B1 whether to split it at its sections.
STEPS
1. Read the whole book. Work out its structure from the table of contents AND the headings in the text.
   Where they disagree, follow the headings in the text and report the difference.
2. Classify every part, in order, as CHAPTER or SKIP (with the reason from rule 2, 3 or 4).
3. For each CHAPTER write batch-04/book_split/&lt;book_slug&gt;/ch&lt;NN&gt;_&lt;short-title-slug&gt;.md:
   first line "# Chapter &lt;N&gt;: &lt;chapter title as printed&gt;", then the chapter text exactly as in the book,
   with its section headings as "## Heading". NN is two digits, in book order.
4. Write batch-04/book_split/&lt;book_slug&gt;/split_plan.csv with columns:
   order, part_label_as_printed, classification (CHAPTER/SKIP), skip_reason, chapter_no, chapter_title,
   start_page, end_page, word_count, file, collected_piece (yes/no), original_date, original_outlet,
   flags (candidate / long / author-introduction / unclear-boundary)
5. Write batch-04/book_split/&lt;book_slug&gt;/split_report.md: book title, author, publisher, year;
   the number of chapters and skipped parts; the skipped list with reasons; every "candidate",
   "long" and "author-introduction" flag; and the coverage check below.
SELF-CHECKS (must pass)
- COVERAGE: words in chapter files + words in skipped parts ≈ words in the whole book (within 3%).
  Every page belongs to exactly one part.
- NO OVERLAP: each chapter file's first and last sentence appear in that file only.
- No chapter file is empty. Chapter numbers follow the book; report any gap instead of renumbering.
- No file was created for a SKIP part.
FLAG, DO NOT FIX
- Missing or duplicated pages · a chapter that seems to run into the next · more than a page of text by
  someone else inside a chapter · a part you cannot classify.
STOP and wait for the team to confirm split_plan.csv before running B1.</t>
        </is>
      </c>
      <c r="F6" s="6" t="inlineStr">
        <is>
          <t>book_split/&lt;book&gt;/ch&lt;NN&gt;_*.md + split_plan.csv + split_report.md</t>
        </is>
      </c>
      <c r="G6" s="6" t="inlineStr">
        <is>
          <t>Confirm chapters and skipped parts</t>
        </is>
      </c>
      <c r="H6" s="6" t="inlineStr">
        <is>
          <t>[x] 23 Sep — 8 books, 167 chapters</t>
        </is>
      </c>
    </row>
    <row r="7">
      <c r="A7" s="6" t="inlineStr">
        <is>
          <t>B1</t>
        </is>
      </c>
      <c r="B7" s="6" t="inlineStr">
        <is>
          <t>Intake and IDs for the confirmed chapters</t>
        </is>
      </c>
      <c r="C7" s="6" t="inlineStr">
        <is>
          <t>CE-1</t>
        </is>
      </c>
      <c r="D7" s="6" t="inlineStr">
        <is>
          <t>Cowork · Member 2</t>
        </is>
      </c>
      <c r="E7" s="6" t="inlineStr">
        <is>
          <t>B1 — register the confirmed book chapters in batch-04/intake_manifest.csv and assign IDs
BOUNDARIES
- Work only inside batch-04/. Do NOT touch data/, corpus/ or the pinned data/csv sheets.
- Register ONLY rows marked CHAPTER in each confirmed batch-04/book_split/&lt;book&gt;/split_plan.csv.
  Never add a row for a SKIP part.
- Never reuse or renumber an ID. Retired IDs (data/csv/retired_doc_ids.csv) stay taken.
STEPS
1. For every confirmed chapter record: source (the chapter file path), material_type = book chapter,
   title "&lt;Book title&gt; -- Ch. &lt;N&gt;: &lt;Chapter title&gt;", publication date, publisher, rights/consent status
   ("CJP-authored, covered by the FLP corpus permission" unless the book says otherwise — FLAG any doubt),
   book_title, chapter_no, est_words (from split_plan.csv).
2. DUPLICATE CHECK. Compare each chapter's normalised title against every corpus/*/*/*.json title and
   archive/phase1/id_map_phase1_to_live.csv. For a COLLECTED PIECE (a reprinted column or speech), also
   compare its original date and outlet with the existing columns and speeches. List every match in a
   "duplicates" section and do not register it.
   Books already partly in the corpus (A Centenary of Justice, The Bio-Age Dawns on the Judiciary,
   Justice and Faith, With Due Respect Vols. 1-7): register only the chapters that are not there yet.
   The four retired Centenary IDs (BA040, BC009, BC010, BD018) stay retired; if one of those parts is now
   available in full AND is a chapter under the B0 rules, give it a NEW ID and note "replaces retired &lt;ID&gt;".
3. LONG CHAPTERS (flagged "long" in B0): ask the team — keep whole, or split at its sections into
   "&lt;Book title&gt; -- Ch. &lt;N&gt;.&lt;n&gt;: &lt;Section title&gt;" documents with consecutive IDs.
4. THEME. One theme letter A-E per chapter by its main subject (A liberty and rule of law · B prosperity and
   economic philosophy · C biographical and personal · D FLP mission and foundation · E current events
   commentary) with a one-line reason. Chapters of one book may have different themes.
5. IDs. Next free book IDs from the Data Flow register: BA051 · BB009 · BC023 · BD027 · BE030 (re-check
   against corpus/, the manifest and retired_doc_ids.csv first). Within a series, assign in book order.
6. DATES. Text YYYY-MM-DD plus date_precision: "day", "month" (YYYY-MM-01) or "year" (YYYY-01-01). Use the
   chapter's own date if printed (collected columns and speeches), otherwise the book's publication date.
7. Append to batch-04/intake_manifest.csv (keep its existing header and rows).
8. Write batch-04/intake_books_report.md: chapters per book, IDs used, duplicates, long-chapter decisions
   needed, and every flag.
SELF-CHECKS (must pass)
- One manifest row per CHAPTER row in the confirmed split plans (minus duplicates); none for SKIP parts.
- No doc_id appears twice in the manifest, in corpus/, or in retired_doc_ids.csv.
- Every row has a theme, a date with a precision, and a rights status.
FLAG, DO NOT FIX
- Unclear rights · a missing or ambiguous date · a probable duplicate · a chapter not written by CJP.
STOP and wait for the team to confirm IDs and themes.</t>
        </is>
      </c>
      <c r="F7" s="6" t="inlineStr">
        <is>
          <t>intake_manifest.csv rows + intake_books_report.md</t>
        </is>
      </c>
      <c r="G7" s="6" t="inlineStr">
        <is>
          <t>Confirm IDs, themes, long-chapter splits</t>
        </is>
      </c>
      <c r="H7" s="6" t="inlineStr">
        <is>
          <t>[x] 23 Sep — 167 rows; themes + long chapters to review</t>
        </is>
      </c>
    </row>
    <row r="8">
      <c r="A8" s="6" t="inlineStr">
        <is>
          <t>B2</t>
        </is>
      </c>
      <c r="B8" s="6" t="inlineStr">
        <is>
          <t>Chapter files → contract .md</t>
        </is>
      </c>
      <c r="C8" s="6" t="inlineStr">
        <is>
          <t>CE-1a</t>
        </is>
      </c>
      <c r="D8" s="6" t="inlineStr">
        <is>
          <t>Cowork · Member 2</t>
        </is>
      </c>
      <c r="E8" s="6" t="inlineStr">
        <is>
          <t>CE-1a — convert every confirmed batch-04 book chapter into one source .md in the contract format
BOUNDARIES
- Read batch-04/intake_manifest.csv (confirmed rows only). Write only to batch-04/data_text/.
- Do NOT write to data/text/ — files move there at CE-4. Do not edit the originals in batch-04/incoming/.
- Do not rewrite, summarise, translate or "tidy" CJP's wording. Only fix extraction damage
  (broken hyphenation across lines, page headers/footers, page numbers, OCR splits).
STEPS
1. For each manifest row, take the text of exactly that document from its source. Use the
   chapter file from B0 (batch-04/book_split/&lt;book&gt;/ch&lt;NN&gt;_….md), not the whole book, and drop its
   "# Chapter N: …" line (the manifest title replaces it). Parts marked SKIP in B0 are never converted.
2. Write batch-04/data_text/&lt;doc_id&gt;.md in this exact shape:
   # &lt;title from the manifest&gt;
   Date:       &lt;publication_date&gt;
   Publisher:  &lt;publisher&gt;
   Source:     &lt;URL, or "&lt;book title&gt;, &lt;publisher&gt; &lt;year&gt;, pp. x–y"&gt;
   By: Artemio V. Panganiban
   &lt;body in markdown&gt;
   - Keep the author's section headings as "## Heading"; turn bold-only heading lines into "## Heading".
   - Keep paragraphs, block quotes ("&gt;"), and lists. Keep footnotes at the end under "## Notes".
   - NO YAML '---' block anywhere, and no horizontal rules ('---', '***').
   - File name = the three-digit doc_id (CA530.md, never CA53.md). UTF-8.
3. For each file record: word count, number of '##' headings, first and last sentence, and any gap
   (unreadable page, missing section, garbled OCR).
4. Write batch-04/source_check.md with that table plus a list of items whose text is incomplete.
SELF-CHECKS (must pass)
- One .md per confirmed manifest row, and no extra files.
- Every file's first line is "# " + the manifest title; lines 2–5 are the header; line 6 is blank.
- No file contains a line that is exactly '---'.
- The body word count is within ±5% of the B0 split_plan word_count (explain any outlier).
FLAG, DO NOT FIX
- Missing pages or sections · text that looks like it belongs to another chapter · passages not by CJP
  (quoted decisions, forewords) that are longer than a page — keep them, but list them.</t>
        </is>
      </c>
      <c r="F8" s="6" t="inlineStr">
        <is>
          <t>data_text/&lt;ID&gt;.md + source_check.md</t>
        </is>
      </c>
      <c r="G8" s="6" t="inlineStr">
        <is>
          <t>Skim 5 files against the book</t>
        </is>
      </c>
      <c r="H8" s="6" t="inlineStr">
        <is>
          <t>[ ] next</t>
        </is>
      </c>
    </row>
    <row r="9">
      <c r="A9" s="6" t="inlineStr">
        <is>
          <t>B3</t>
        </is>
      </c>
      <c r="B9" s="6" t="inlineStr">
        <is>
          <t>Enrichment — book chapters</t>
        </is>
      </c>
      <c r="C9" s="6" t="inlineStr">
        <is>
          <t>CE-1b</t>
        </is>
      </c>
      <c r="D9" s="6" t="inlineStr">
        <is>
          <t>Cowork · Member 2 (Claude drafts)</t>
        </is>
      </c>
      <c r="E9" s="6" t="inlineStr">
        <is>
          <t>CE-1b — draft one enriched row per batch-04 document, matching the existing corpus
BOUNDARIES
- Read batch-04/data_text/&lt;ID&gt;.md and batch-04/intake_manifest.csv. Write only
  batch-04/books_enriched.xlsx (append).
- Do NOT touch the pinned data/csv/*_curated_normalized.xlsx — that is CE-4.
- Every claim in a row must come from that document's text. No outside knowledge, no invented quotes.
REFERENCE FIRST
Open data/csv/cjp_books_curated_normalized.xlsx and read 3 rows of the same theme as a style reference
(e.g. BA001, BD010, BE001).
Match their depth and phrasing, not their content.
THE 15 FIELDS (sheet name cjp_books_curated, header row exactly as below)
Date | Title | Article Code | Link | Keyword/s | primary_topics | sub_topics | signature_phrases |
entities | stances | notable_anecdotes | target_audience | register_markers |
decision_framework_signals | one_paragraph_summary
- Date: TEXT "YYYY-MM-DD" from the manifest (set the cell format to Text first).
- Title, Article Code (= doc_id), Link: from the manifest. Link may be blank for books.
- List fields are JSON arrays of strings; entities is a JSON object; stances is a JSON array of objects.
  Write them as valid JSON text in the cell (double quotes, no trailing commas).
TYPICAL SIZES for book chapters in the existing corpus (medians — aim near them, never pad):
  Keyword/s                       20   names, cases, laws, key quoted phrases; multi-word kept whole
  primary_topics                   4   full sentences: what the chapter is centrally about
  sub_topics                       8   the supporting points, in the order made
  signature_phrases                5   VERBATIM from the text — his words, 3–20 words each
  entities   {people, institutions, cases, laws_treaties, events} — each a list; add "(role)" after a name
  stances                          3   {"claim", "rhetorical_move", "confidence"}
  notable_anecdotes                4   strings: first-hand moments and stories, one sentence of context
  target_audience                  3
  register_markers                 5   tone, structure, rhetorical habits
  decision_framework_signals       5   the tests and principles he applies
  one_paragraph_summary      ~300 words, one paragraph, neutral, past-tense reporting of his argument
  For a chapter over 3,000 words, scale up (keywords, sub_topics, signature phrases, anecdotes) so the
  whole chapter is represented, not just its opening.
STEPS
1. For each document: read the whole .md, then fill the 15 fields.
2. signature_phrases: copy exactly as in the text, including punctuation. After drafting, search the
   .md for each phrase (compare with curly/straight quotes and dashes normalised) and replace any
   phrase that is not found with one that is. Record how many were replaced.
3. confidence (in stances): "asserted", "asserted with evidence", "hedged", or "reported (not his view)".
4. Append the row to the right workbook. Keep one sheet per workbook.
SELF-CHECKS (must pass)
- Row count == manifest rows with material_type = book chapter.
- Every JSON cell parses. Every Date cell is text matching YYYY-MM-DD.
- 100% of signature_phrases are found verbatim in their document's .md.
- No two rows share an Article Code; every Article Code has a data_text/&lt;ID&gt;.md.
FLAG, DO NOT FIX
- A document too short to support the typical sizes (say so; do not pad) · content by someone other
  than CJP · a date in the text that contradicts the manifest.</t>
        </is>
      </c>
      <c r="F9" s="6" t="inlineStr">
        <is>
          <t>books_enriched.xlsx</t>
        </is>
      </c>
      <c r="G9" s="6" t="inlineStr">
        <is>
          <t>—</t>
        </is>
      </c>
      <c r="H9" s="6" t="inlineStr">
        <is>
          <t>[ ]</t>
        </is>
      </c>
    </row>
    <row r="10">
      <c r="A10" s="6" t="inlineStr">
        <is>
          <t>B4</t>
        </is>
      </c>
      <c r="B10" s="6" t="inlineStr">
        <is>
          <t>QA — book rows</t>
        </is>
      </c>
      <c r="C10" s="6" t="inlineStr">
        <is>
          <t>CE-1b QA</t>
        </is>
      </c>
      <c r="D10" s="6" t="inlineStr">
        <is>
          <t>Cowork · Member 2</t>
        </is>
      </c>
      <c r="E10" s="6" t="inlineStr">
        <is>
          <t>CE-1b QA — independent check of the batch-04 enriched rows, then a human spot-check sheet
BOUNDARIES
- Read-only on everything except batch-04/qa_books.md and batch-04/spot_check_books.xlsx.
- Do not edit the enriched workbooks — report what should change.
STEPS
1. Re-run every B3 self-check and report pass/fail with counts.
2. For every row, check against its .md:
   a. each signature phrase is verbatim (quotes/dashes normalised);
   b. every name in entities.people appears in the text;
   c. every notable_anecdote describes something actually in the text;
   d. the summary makes no claim the text does not support.
3. Pick 10 rows at random (seed = 4, spread across the books), and write spot_check_books.xlsx with:
   doc_id, title, the .md path, the summary, 3 signature phrases, 2 stances, and empty columns
   "reviewer", "OK / fix", "notes".
4. Write qa_books.md: the pass/fail table, every failure with the exact cell and reason, and the
   spot-check list.
SELF-CHECKS
- Every row checked; every failure names doc_id + column + the offending text.
FLAG, DO NOT FIX
- Anything that fails a check. The team fixes B3 output and re-runs B4 until it is clean and the
  10-row spot check is signed. Then continue with P5 in BATCH-04_PROMPTS.md.</t>
        </is>
      </c>
      <c r="F10" s="6" t="inlineStr">
        <is>
          <t>qa_books.md + spot_check_books.xlsx</t>
        </is>
      </c>
      <c r="G10" s="6" t="inlineStr">
        <is>
          <t>Sign off 10 rows</t>
        </is>
      </c>
      <c r="H10" s="6" t="inlineStr">
        <is>
          <t>[ ]</t>
        </is>
      </c>
    </row>
    <row r="11">
      <c r="A11" s="12" t="inlineStr">
        <is>
          <t>COLUMNS FROM ONLINE — Inquirer 'With Due Respect', pasted into Claude · file: BATCH-04_COLUMNS_PROMPTS.md (revised 23 Sep 2026) · corpus stopped at 18 May 2026; 18 columns 25 May–21 Sep staged (CA530–CA543, CB020–CB021, CD030–CD031); next to collect 28 Sep</t>
        </is>
      </c>
      <c r="B11" s="13" t="n"/>
      <c r="C11" s="13" t="n"/>
      <c r="D11" s="13" t="n"/>
      <c r="E11" s="13" t="n"/>
      <c r="F11" s="13" t="n"/>
      <c r="G11" s="13" t="n"/>
      <c r="H11" s="13" t="n"/>
    </row>
    <row r="12">
      <c r="A12" s="6" t="inlineStr">
        <is>
          <t>C0</t>
        </is>
      </c>
      <c r="B12" s="6" t="inlineStr">
        <is>
          <t>Start a column session (paste once)</t>
        </is>
      </c>
      <c r="C12" s="6" t="inlineStr">
        <is>
          <t>CE-1 / 1a / 1b</t>
        </is>
      </c>
      <c r="D12" s="6" t="inlineStr">
        <is>
          <t>Cowork · Member 2</t>
        </is>
      </c>
      <c r="E12" s="6" t="inlineStr">
        <is>
          <t>C0 — COLUMN SESSION for batch-04. Read this, confirm, then wait for columns.
CONTEXT
- Project: CJAP robot knowledge base. Base folder: the Final Project Folder.
- I will paste Inquirer "With Due Respect" columns by Artemio V. Panganiban, one or more per message,
  either in the COLUMN template (=== COLUMN === … === END ===) or copied straight from the article page.
- For each one you do the whole C1 procedure below. Work only in batch-04/.
BEFORE THE FIRST COLUMN
1. Read batch-04/intake_manifest.csv and data/csv/retired_doc_ids.csv, and list every doc_id in corpus/
   (use the "id" field inside each corpus/*/*/*.json).
2. Work out the next free ID per column series from the highest ID used anywhere (corpus, manifest, retired):
   expected after the 23 Sep run CA544 · CB022 · CC118 · CD032 · CE121. Report what you found.
3. Read 3 existing column rows in data/csv/cjp_columns_curated_normalized.xlsx (e.g. CA025, CC018, CE003)
   and 2 matching data/text/&lt;ID&gt;.md files, as the style reference.
   Note: the pinned rows use free-form confidence values, "--" dashes and very long lists. For NEW rows
   follow C1 below (four confidence values, typical sizes), not the pinned rows.
4. Open the byline pages https://opinion.inquirer.net/byline/artemio-v-panganiban (and /page/2) and note
   the title, URL and date of each recent column, so a paste without a URL can be matched.
5. Confirm you are ready. Do not write anything yet.</t>
        </is>
      </c>
      <c r="F12" s="6" t="inlineStr">
        <is>
          <t>— (loads rules and next free IDs)</t>
        </is>
      </c>
      <c r="G12" s="6" t="inlineStr">
        <is>
          <t>Check the IDs it reports</t>
        </is>
      </c>
      <c r="H12" s="6" t="inlineStr">
        <is>
          <t>[x] 23 Sep</t>
        </is>
      </c>
    </row>
    <row r="13">
      <c r="A13" s="6" t="inlineStr">
        <is>
          <t>C1-T</t>
        </is>
      </c>
      <c r="B13" s="6" t="inlineStr">
        <is>
          <t>Paste template — one block per column</t>
        </is>
      </c>
      <c r="C13" s="6" t="inlineStr">
        <is>
          <t>CE-1a</t>
        </is>
      </c>
      <c r="D13" s="6" t="inlineStr">
        <is>
          <t>You paste from inquirer.net (template, or the page as-is; Claude finds a missing URL)</t>
        </is>
      </c>
      <c r="E13" s="6">
        <f>== COLUMN ===
URL: https://opinion.inquirer.net/…
TITLE: &lt;title as published&gt;
DATE: &lt;as shown, e.g. 05:30 AM May 25, 2026&gt;
TEXT:
&lt;paste the byline and the full article body here&gt;
=== END ===</f>
        <v/>
      </c>
      <c r="F13" s="6" t="inlineStr">
        <is>
          <t>—</t>
        </is>
      </c>
      <c r="G13" s="6" t="inlineStr">
        <is>
          <t>—</t>
        </is>
      </c>
      <c r="H13" s="6" t="inlineStr">
        <is>
          <t>[x] 23 Sep</t>
        </is>
      </c>
    </row>
    <row r="14">
      <c r="A14" s="6" t="inlineStr">
        <is>
          <t>C1</t>
        </is>
      </c>
      <c r="B14" s="6" t="inlineStr">
        <is>
          <t>Per-column procedure: clean → find URL if missing → duplicate check → title → theme + ID (theme series) → .md → manifest → enriched row</t>
        </is>
      </c>
      <c r="C14" s="6" t="inlineStr">
        <is>
          <t>CE-1 / 1a / 1b</t>
        </is>
      </c>
      <c r="D14" s="6" t="inlineStr">
        <is>
          <t>Cowork (runs automatically after C0)</t>
        </is>
      </c>
      <c r="E14" s="6" t="inlineStr">
        <is>
          <t>C1 — for EACH pasted column:
BOUNDARIES
- Write only: batch-04/data_text/&lt;ID&gt;.md, a row in batch-04/intake_manifest.csv, a row in
  batch-04/columns_enriched.xlsx. Never touch data/, corpus/ or the pinned data/csv sheets.
- Never change his wording. Remove only web clutter. Never invent or "complete" missing text.
- Keep printed typos and odd spellings exactly as printed (e.g. "grabbed in shimmering crimson") and
  FLAG them in the report; never correct them.
1. CHECK THE PASTE
   - Title, date, byline and body present. Author is Artemio V. Panganiban (byline).
   - URL: if missing, take it from the byline pages (title + date must both match). If it cannot be
     found there or by a search limited to opinion.inquirer.net, STOP and ask me. Never guess a URL.
   - Remove web clutter: breadcrumb links ("Columnists", "Columns"), the "With Due Respect" label,
     "@inquirerdotnet" and source links in the byline, "Share:", ADVERTISEMENT and
     "Article continues after this advertisement", "by Taboola" / "Sponsored Links" / "You May Like"
     blocks and their ad links, "Read Next", "Subscribe to our daily newsletter", "Don't miss out…",
     "READ: …" and other related-article links, share/like text, photo captions and credits,
     comment-policy or disclaimer lines, the closing "Comments to …@…" email line, and the closing
     rule line ("—————-").
   - Keep: every paragraph of the article, his CAPITALISED lead-in phrases exactly as printed, quotes,
     curly quotes and dashes as printed, and any "* * *" section breaks (keep them as their own
     "* * *" line, never '---').
   - Word count (body only, from the paragraph after the By: line): typical is 750–1,050.
     Below 600 or above 1,200 → FLAG "possible incomplete paste" and ask me before continuing.
2. DUPLICATE CHECK — compare the normalised title, the URL (and its article number) and the date against
   every corpus/*/*/*.json and the batch-04 manifest. If it matches, STOP for this column and tell me
   which doc it matches.
3. DATE — convert to text YYYY-MM-DD (05:30 AM May 25, 2026 → 2026-05-25). date_precision = day.
   Keep the printed time as-is on the By: line (it varies: 05:15, 05:30, 05:35 AM).
4. TITLE — as published, trimmed of leading/trailing spaces, with a straight apostrophe (' not ’), as in
   the existing corpus titles ("The SC's 125th …", "Sara's options"). Use the same title in the .md,
   manifest and enriched row. (Inside the body, keep his curly quotes.)
5. THEME + ID — choose one theme A–E by its main subject (A liberty and rule of law · B prosperity and
   economic philosophy · C biographical and personal · D FLP mission and foundation · E current events
   commentary) with a one-line reason, then take the next free ID IN THAT THEME'S SERIES
   (theme B → CBnnn, theme D → CDnnn, …). Say if torn and name the other theme.
   Precedents from the corpus: legal explainers, court rulings, impeachment, ICC, civil registry,
   juvenile justice → A; central bank, energy, economy → B; FLP projects, scholars, museum → D.
   Check how similar existing columns were themed before deciding.
6. WRITE batch-04/data_text/&lt;ID&gt;.md exactly in this shape, matching the existing data/text files
   (UTF-8, LF line endings, ends with a newline, no YAML, no '---' lines, plain title line,
   no blank lines between paragraphs):
   &lt;Title&gt;
   Date:       &lt;YYYY-MM-DD&gt;
   Publisher:  Philippine Daily Inquirer (Inquirer Opinion)
   Source:     &lt;URL&gt;
   By: Artemio V. Panganiban | &lt;time and date as printed&gt;
   &lt;body paragraphs, one per line, no blank lines between them&gt;
7. MANIFEST ROW → append to batch-04/intake_manifest.csv (keep its CRLF line endings and quoting):
   source=&lt;URL&gt;, material_type=column, title, publication_date, date_precision=day,
   publisher="Philippine Daily Inquirer (Inquirer Opinion)", theme, theme_reason,
   rights_consent_status="CJP-authored Inquirer column, same basis as the existing 785",
   doc_id, superseded_doc_id="", book_title="", chapter_no="", est_words=&lt;body word count&gt;, note="".
8. ENRICHED ROW → append to batch-04/columns_enriched.xlsx (sheet cjp_columns_curated; header exactly:
   Date | Title | Article Code | Link | Keyword/s | primary_topics | sub_topics | signature_phrases |
   entities | stances | notable_anecdotes | target_audience | register_markers |
   decision_framework_signals | one_paragraph_summary)
   - Date as TEXT (cell format "@"), never a date value.
   - List fields as JSON arrays of strings; entities a JSON object with exactly the keys
     people, institutions, cases, laws_treaties, events; stances a JSON array of objects with exactly
     the keys "claim", "rhetorical_move", "confidence". confidence is ONLY one of: asserted /
     asserted with evidence / hedged / reported (not his view). Use "reported (not his view)" when he
     sets out someone else's position (the OSG, opposing counsel, another justice).
   - Typical sizes for columns: Keyword/s ~8 · primary_topics ~5–7 · sub_topics ~14 ·
     signature_phrases ~10–15 · stances ~5–7 · notable_anecdotes ~5 · target_audience ~5 ·
     register_markers ~8–12 · decision_framework_signals ~6 · summary ~300 words (280–350), one paragraph.
     Never pad a short column to reach them.
   - signature_phrases are copied VERBATIM from the .md, 3–20 words each (count the words; cut a longer
     line to a complete clause, never mid-phrase). Search the .md for each one (curly/straight quotes
     and dashes treated as equal); replace any that is not found.
   - entities.people: each name exactly as it appears in the text (e.g. "President Duterte", not a fuller
     name the text never uses). A short role may follow in parentheses. No descriptions that are not
     names ("three unnamed minors" goes in events, not people).
   - Acronyms: use the form the text uses; if the text only spells a body out in full, write it in full
     (or full name + acronym in parentheses).
   - Everything must come from this column's text — no outside facts, no invented quotes. Quoted
     fragments in anecdotes and the summary must appear in the .md. Record any disclosure he makes
     about his own role (e.g. board adviser) in stances or anecdotes.
9. REPORT, one line per column:
   &lt;ID&gt; · &lt;date&gt; · &lt;title&gt; · theme &lt;X&gt; (&lt;reason&gt;) · &lt;words&gt; words · duplicates: none/&lt;match&gt; ·
   phrases verbatim &lt;n&gt;/&lt;n&gt; · flags: &lt;…&gt;
   Flags include: URL looked up, theme torn, printed typos kept, unusual byline time.
   Then the updated next free IDs and the running count (&lt;n&gt; of 18, which weeks remain).
SELF-CHECKS (every column, before reporting)
- The .md's first line is the plain title (no "# "); lines 2–4 are Date/Publisher/Source; line 5 is blank;
  line 6 is the By: line; no blank lines after it; no line is exactly '---'; the file ends with a newline.
- The .md title, Date and Source equal the manifest's title, publication_date and source, and the
  enriched row's Title, Date and Link.
- The manifest, the .md file name and the enriched row share the same doc_id, and the ID's series letter
  matches the theme.
- est_words equals the body word count.
- Every JSON cell parses; entities has the five keys; every confidence value is one of the four.
- 100% of signature phrases are found verbatim, and every one is 3–20 words.
- Every name in entities.people appears in the text.</t>
        </is>
      </c>
      <c r="F14" s="6" t="inlineStr">
        <is>
          <t>data_text/&lt;ID&gt;.md + manifest row + columns_enriched.xlsx row</t>
        </is>
      </c>
      <c r="G14" s="6" t="inlineStr">
        <is>
          <t>Read the one-line report per column; check flags (URL looked up, theme torn, typos kept)</t>
        </is>
      </c>
      <c r="H14" s="6" t="inlineStr">
        <is>
          <t>[x] 18/18 on 23 Sep (CA529 withdrawn — not his work)</t>
        </is>
      </c>
    </row>
    <row r="15">
      <c r="A15" s="6" t="inlineStr">
        <is>
          <t>C2</t>
        </is>
      </c>
      <c r="B15" s="6" t="inlineStr">
        <is>
          <t>QA — all pasted columns</t>
        </is>
      </c>
      <c r="C15" s="6" t="inlineStr">
        <is>
          <t>CE-1b QA</t>
        </is>
      </c>
      <c r="D15" s="6" t="inlineStr">
        <is>
          <t>Cowork · Member 2</t>
        </is>
      </c>
      <c r="E15" s="6" t="inlineStr">
        <is>
          <t>C2 — QA for the batch-04 COLUMNS, then a human spot-check sheet.
BOUNDARIES: read-only except batch-04/qa_columns.md and batch-04/spot_check_columns.xlsx.
Do not edit the enriched workbook — report what should change.
1. Coverage: list which of the expected Mondays (2026-05-25 … 2026-09-21, or the range for this batch)
   are in the manifest and which are missing. Confirm there are no two columns with the same date or URL.
2. Re-run every C1 self-check for every column (column rows only; include CA529).
3. For every row check against its .md: each signature phrase verbatim and 3–20 words; every name in
   entities.people appears in the text (compare the name without any parenthetical role); every notable
   anecdote describes something in the text; the summary makes no claim the text does not support; the
   date matches the byline.
   Method: first an automated pass (every quoted fragment and every number in anecdotes and the summary
   must be in the .md; flag sentences whose content words are mostly absent), then read every flagged
   sentence against the text. Say which rows got the read-through and which the automated pass only.
4. IDs: contiguous within each series from the register's next free number; none reused in corpus/;
   none retired.
5. Pick 10 rows at random with Python random.Random(4).sample() over the column doc_ids in manifest
   order → spot_check_columns.xlsx with doc_id, title, .md path, summary, 3 signature phrases,
   2 stances (claim [rhetorical_move; confidence]), and empty columns reviewer / OK-or-fix / notes
   (OK-or-fix as an OK/Fix dropdown). Add a how_to sheet with the method.
6. Write qa_columns.md: pass/fail table (one row per doc_id, one column per check), every failure
   (doc_id + column + offending text), missing weeks, the ID table, "What should change" (per failing
   row) and advisories (theme borderlines, printed typos kept), and the spot-check list.
STOP. When the team has fixed any failures and signed the 10-row spot check, continue with P5 in
BATCH-04_PROMPTS.md.</t>
        </is>
      </c>
      <c r="F15" s="6" t="inlineStr">
        <is>
          <t>qa_columns.md + spot_check_columns.xlsx</t>
        </is>
      </c>
      <c r="G15" s="6" t="inlineStr">
        <is>
          <t>Sign off 10 rows; note missing weeks</t>
        </is>
      </c>
      <c r="H15" s="6" t="inlineStr">
        <is>
          <t>[x] QA run 23 Sep — 18/18 pass; CA529 withdrawn; 10-row sign-off pending</t>
        </is>
      </c>
    </row>
    <row r="16">
      <c r="A16" s="12" t="inlineStr">
        <is>
          <t>SPEECHES — files or pasted from cjpanganiban.com · file: BATCH-04_SPEECHES_PROMPTS.md · one document per speech (per part for a series)</t>
        </is>
      </c>
      <c r="B16" s="13" t="n"/>
      <c r="C16" s="13" t="n"/>
      <c r="D16" s="13" t="n"/>
      <c r="E16" s="13" t="n"/>
      <c r="F16" s="13" t="n"/>
      <c r="G16" s="13" t="n"/>
      <c r="H16" s="13" t="n"/>
    </row>
    <row r="17">
      <c r="A17" s="6" t="inlineStr">
        <is>
          <t>S0</t>
        </is>
      </c>
      <c r="B17" s="6" t="inlineStr">
        <is>
          <t>Start a speech session (paste once)</t>
        </is>
      </c>
      <c r="C17" s="6" t="inlineStr">
        <is>
          <t>CE-1 / 1a / 1b</t>
        </is>
      </c>
      <c r="D17" s="6" t="inlineStr">
        <is>
          <t>Cowork · Member 2</t>
        </is>
      </c>
      <c r="E17" s="6" t="inlineStr">
        <is>
          <t>S0 — SPEECH SESSION for batch-04. Read this, confirm, then wait.
CONTEXT
- CJAP robot knowledge base. Base folder: the Final Project Folder. Work only in batch-04/.
- Speeches arrive as files in batch-04/incoming/speeches/ or pasted with the SPEECH template
  (=== SPEECH === … === END ===). For each one, run the S1 procedure below.
BEFORE THE FIRST SPEECH
1. Read batch-04/intake_manifest.csv, data/csv/retired_doc_ids.csv and every doc_id in corpus/.
   Work out the next free ID per speech series (expected SA150 · SB116 · SC154 · SD151 · SE109). Report them.
2. Read 3 existing speech rows in data/csv/cjp_speeches_curated_normalized.xlsx (e.g. SA145, SE001, SC005)
   and their data/text/&lt;ID&gt;.md files as the style reference.
3. List any files already in batch-04/incoming/speeches/. Confirm you are ready. Write nothing yet.</t>
        </is>
      </c>
      <c r="F17" s="6" t="inlineStr">
        <is>
          <t>—</t>
        </is>
      </c>
      <c r="G17" s="6" t="inlineStr">
        <is>
          <t>Check the IDs it reports</t>
        </is>
      </c>
      <c r="H17" s="6" t="inlineStr">
        <is>
          <t>[ ]</t>
        </is>
      </c>
    </row>
    <row r="18">
      <c r="A18" s="6" t="inlineStr">
        <is>
          <t>S1-T</t>
        </is>
      </c>
      <c r="B18" s="6" t="inlineStr">
        <is>
          <t>Paste template — one block per speech (files need no template)</t>
        </is>
      </c>
      <c r="C18" s="6" t="inlineStr">
        <is>
          <t>CE-1a</t>
        </is>
      </c>
      <c r="D18" s="6" t="inlineStr">
        <is>
          <t>You paste from cjpanganiban.com, or drop files in incoming/speeches/</t>
        </is>
      </c>
      <c r="E18" s="6">
        <f>== SPEECH ===
URL: &lt;cjpanganiban.com link, or "file: &lt;file name&gt;"&gt;
TITLE: &lt;title as published&gt;
DATE DELIVERED: &lt;e.g. October 18, 2006&gt;
OCCASION: &lt;event, venue, audience — if known&gt;
TEXT:
&lt;paste the full speech&gt;
=== END ===</f>
        <v/>
      </c>
      <c r="F18" s="6" t="inlineStr">
        <is>
          <t>—</t>
        </is>
      </c>
      <c r="G18" s="6" t="inlineStr">
        <is>
          <t>—</t>
        </is>
      </c>
      <c r="H18" s="6" t="inlineStr">
        <is>
          <t>[ ]</t>
        </is>
      </c>
    </row>
    <row r="19">
      <c r="A19" s="6" t="inlineStr">
        <is>
          <t>S1</t>
        </is>
      </c>
      <c r="B19" s="6" t="inlineStr">
        <is>
          <t>Per-speech procedure: clean → duplicate check → theme + ID → .md with occasion line → manifest → enriched row</t>
        </is>
      </c>
      <c r="C19" s="6" t="inlineStr">
        <is>
          <t>CE-1 / 1a / 1b</t>
        </is>
      </c>
      <c r="D19" s="6" t="inlineStr">
        <is>
          <t>Cowork (runs automatically after S0)</t>
        </is>
      </c>
      <c r="E19" s="6" t="inlineStr">
        <is>
          <t>S1 — for EACH speech (file or paste):
BOUNDARIES
- Write only: batch-04/data_text/&lt;ID&gt;.md, a row in batch-04/intake_manifest.csv, a row in
  batch-04/speeches_enriched.xlsx. Never touch data/, corpus/ or the pinned data/csv sheets.
- Never change his wording. Never invent or complete missing text.
1. CHECK THE SOURCE
   - It is delivered BY Artemio V. Panganiban (not an introduction of him, not a citation read by someone else).
   - Remove only: web clutter (menus, share buttons, related posts, comments), page headers/footers and page
     numbers, and file-conversion markup (backslash escapes like "\." or "\-", stray "__" or "*" pairs).
   - Keep: salutations, the occasion line, every paragraph, quotes, closing prayers and thanks.
   - Typical length 500–2,200 words (median 912). Under 300 → FLAG "possible fragment" and ask me.
   - A speech file that holds SEVERAL speeches → one document per speech; ask me first if unsure.
   - A multi-part speech series (Part One / Two / Three) → one document per part.
2. DUPLICATE CHECK — normalised title, URL and delivery date against every corpus/*/*/*.json and the
   batch-04 manifest; also against the columns (he often turned a speech into a column). A match → STOP for
   this speech and tell me which doc it matches.
3. DATE — the DELIVERY date as text YYYY-MM-DD; precision day / month (YYYY-MM-01) / year (YYYY-01-01).
4. THEME + ID — one theme A–E by main subject (A liberty and rule of law · B prosperity and economic
   philosophy · C biographical and personal · D FLP mission and foundation · E current events commentary),
   a one-line reason, then the next free ID in that S-series.
5. WRITE batch-04/data_text/&lt;ID&gt;.md (UTF-8, no YAML, no '---' lines):
   # &lt;Title&gt;
   Date:       &lt;YYYY-MM-DD&gt;
   Publisher:  cjpanganiban.com          (or the book/program it came from, for a file)
   Source:     &lt;URL, or "file: &lt;name&gt;"&gt;
   &lt;Occasion line, e.g. "Keynote Address of Chief Justice ARTEMIO V. PANGANIBAN during …, &lt;venue&gt;, &lt;date&gt;."&gt;
   &lt;speech body, paragraphs separated by blank lines; his own section headings as "## Heading"&gt;
6. MANIFEST ROW: source, material_type=speech, title, publication_date (= delivery date), date_precision,
   publisher, theme, theme_reason, rights_consent_status="CJP-authored speech, covered by the FLP corpus
   permission", doc_id, superseded_doc_id="", book_title="", chapter_no="", est_words, note=&lt;occasion&gt;.
7. ENRICHED ROW → batch-04/speeches_enriched.xlsx (sheet cjp_speeches_curated; the same 15 fields in order:
   Date | Title | Article Code | Link | Keyword/s | primary_topics | sub_topics | signature_phrases |
   entities | stances | notable_anecdotes | target_audience | register_markers |
   decision_framework_signals | one_paragraph_summary)
   - Date as TEXT; lists as JSON arrays; entities a JSON object (people, institutions, cases,
     laws_treaties, events); stances [{"claim","rhetorical_move","confidence"}].
   - Typical sizes for speeches: Keyword/s ~16 · primary_topics ~4 · sub_topics ~10 · signature_phrases ~7 ·
     stances ~2 · notable_anecdotes ~4 · target_audience ~4 (include the actual audience of the occasion) ·
     register_markers ~6 (name the speech genre: keynote, eulogy, homily-like, commencement…) ·
     decision_framework_signals ~4 · summary ~300 words. Scale up for speeches over 3,000 words; never pad.
   - signature_phrases VERBATIM from the .md; check each (quotes/dashes normalised) and replace failures.
   - Everything from this speech's text only.
8. REPORT one line per speech: &lt;ID&gt; · &lt;date&gt; · &lt;title&gt; · theme &lt;X&gt; (&lt;reason&gt;) · &lt;words&gt; words ·
   duplicates · phrases verbatim n/n · flags. Then the updated next free IDs.
SELF-CHECKS — first line "# "+title; lines 2–4 Date/Publisher/Source; no '---' line; no "\." escapes left;
manifest, file name and enriched row share the doc_id; every JSON cell parses; 100% phrases verbatim.</t>
        </is>
      </c>
      <c r="F19" s="6" t="inlineStr">
        <is>
          <t>data_text/&lt;ID&gt;.md + manifest row + speeches_enriched.xlsx row</t>
        </is>
      </c>
      <c r="G19" s="6" t="inlineStr">
        <is>
          <t>Read the one-line report per speech</t>
        </is>
      </c>
      <c r="H19" s="6" t="inlineStr">
        <is>
          <t>[ ]</t>
        </is>
      </c>
    </row>
    <row r="20">
      <c r="A20" s="6" t="inlineStr">
        <is>
          <t>S2</t>
        </is>
      </c>
      <c r="B20" s="6" t="inlineStr">
        <is>
          <t>QA — all speeches</t>
        </is>
      </c>
      <c r="C20" s="6" t="inlineStr">
        <is>
          <t>CE-1b QA</t>
        </is>
      </c>
      <c r="D20" s="6" t="inlineStr">
        <is>
          <t>Cowork · Member 2</t>
        </is>
      </c>
      <c r="E20" s="6" t="inlineStr">
        <is>
          <t>S2 — QA for the batch-04 SPEECHES, then a human spot-check sheet.
BOUNDARIES: read-only except batch-04/qa_speeches.md and batch-04/spot_check_speeches.xlsx.
1. Re-run every S1 self-check for every speech row.
2. Against each .md: signature phrases verbatim; entities.people appear in the text; anecdotes are in the
   text; the summary makes no unsupported claim; the date is the delivery date named in the occasion line.
3. Duplicates: no two speeches with the same title+date; none duplicating an existing speech or column.
4. IDs contiguous per series from the next free number; none reused or retired.
5. 10 random rows (seed = 4) → spot_check_speeches.xlsx (doc_id, title, .md path, summary, 3 phrases,
   2 stances, empty reviewer / OK-or-fix / notes).
6. qa_speeches.md: pass/fail table, every failure (doc_id + field + text), spot-check list.
STOP. After fixes and the signed spot check, continue with P5 in BATCH-04_PROMPTS.md.</t>
        </is>
      </c>
      <c r="F20" s="6" t="inlineStr">
        <is>
          <t>qa_speeches.md + spot_check_speeches.xlsx</t>
        </is>
      </c>
      <c r="G20" s="6" t="inlineStr">
        <is>
          <t>Sign off 10 rows</t>
        </is>
      </c>
      <c r="H20" s="6" t="inlineStr">
        <is>
          <t>[ ]</t>
        </is>
      </c>
    </row>
    <row r="21">
      <c r="A21" s="12" t="inlineStr">
        <is>
          <t>BIOGRAPHY — books ABOUT him (GC series, theme C) · file: BATCH-04_BIOGRAPHY_PROMPTS.md · the biographer is the author</t>
        </is>
      </c>
      <c r="B21" s="13" t="n"/>
      <c r="C21" s="13" t="n"/>
      <c r="D21" s="13" t="n"/>
      <c r="E21" s="13" t="n"/>
      <c r="F21" s="13" t="n"/>
      <c r="G21" s="13" t="n"/>
      <c r="H21" s="13" t="n"/>
    </row>
    <row r="22">
      <c r="A22" s="6" t="inlineStr">
        <is>
          <t>G0</t>
        </is>
      </c>
      <c r="B22" s="6" t="inlineStr">
        <is>
          <t>Split a biography into chapter documents</t>
        </is>
      </c>
      <c r="C22" s="6" t="inlineStr">
        <is>
          <t>CE-3</t>
        </is>
      </c>
      <c r="D22" s="6" t="inlineStr">
        <is>
          <t>Cowork · Member 2</t>
        </is>
      </c>
      <c r="E22" s="6" t="inlineStr">
        <is>
          <t>G0 — BIOGRAPHY SPLIT: separate &lt;biography file(s)&gt; into one document per chapter
BOUNDARIES
- Input: the biography in batch-04/incoming/biography/ (one file, or one file per chapter).
  Output only under batch-04/book_split/&lt;bio_slug&gt;/. No IDs, no enrichment, nothing in data/ or corpus/.
- Do not edit, shorten, merge or reorder the text. Cut only at chapter boundaries; remove running
  headers/footers, page numbers and file-conversion markup (backslash escapes like "\." "\-", stray "__"
  or "*" pairs left by Word/PDF conversion).
RULES
1. ONE CHAPTER = ONE DOCUMENT, however short. Never merge chapters.
2. KEEP the Prologue and Epilogue as their own documents when they tell part of the story.
3. SKIP (no document; listed with a reason): cover, title and copyright pages, dedication, epigraph-only
   pages, table of contents, foreword or preface by someone other than the biographer, acknowledgments,
   list of photos, photo sections and captions, appendices, chronology tables, bibliography, notes-only
   sections, index, about the author, blurbs.
4. A chapter-opening scripture verse or epigraph stays at the top of its chapter (as a quote), not a document.
5. A chapter over 6,000 words stays whole and is flagged "long".
STEPS
1. Read the whole biography; take the structure from the table of contents AND the chapter headings in the
   text (follow the text when they disagree, and report it).
2. Classify every part CHAPTER or SKIP (with the reason).
3. Each CHAPTER → batch-04/book_split/&lt;bio_slug&gt;/ch&lt;NN&gt;_&lt;slug&gt;.md: first line "# Chapter &lt;N&gt;: &lt;Title&gt;"
   (or "# Prologue: &lt;Title&gt;" / "# Epilogue: &lt;Title&gt;"), then the text exactly, sub-headings as "## …".
4. split_plan.csv: order, part_label_as_printed, classification, skip_reason, chapter_no, chapter_title,
   start_page, end_page, word_count, file, period_covered (e.g. "1936–1950", "Jan 2001"), flags.
5. split_report.md: biography title, biographer, publisher, year; chapter and skip counts; the skipped
   list; flags; the coverage check.
SELF-CHECKS — chapter words + skipped words ≈ whole biography (±3%); no overlap between chapter files;
no file for a SKIP part; no "\." escapes or stray "__" left in any chapter file.
FLAG, DO NOT FIX — missing pages · unclear boundaries · long passages that are not biography text.
STOP until the team confirms split_plan.csv.</t>
        </is>
      </c>
      <c r="F22" s="6" t="inlineStr">
        <is>
          <t>book_split/&lt;bio&gt;/ch&lt;NN&gt;_*.md + split_plan.csv</t>
        </is>
      </c>
      <c r="G22" s="6" t="inlineStr">
        <is>
          <t>Confirm chapters and skipped parts</t>
        </is>
      </c>
      <c r="H22" s="6" t="inlineStr">
        <is>
          <t>[ ]</t>
        </is>
      </c>
    </row>
    <row r="23">
      <c r="A23" s="6" t="inlineStr">
        <is>
          <t>G1</t>
        </is>
      </c>
      <c r="B23" s="6" t="inlineStr">
        <is>
          <t>Intake and GC IDs (period dates)</t>
        </is>
      </c>
      <c r="C23" s="6" t="inlineStr">
        <is>
          <t>CE-1</t>
        </is>
      </c>
      <c r="D23" s="6" t="inlineStr">
        <is>
          <t>Cowork · Member 2</t>
        </is>
      </c>
      <c r="E23" s="6" t="inlineStr">
        <is>
          <t>G1 — register the confirmed biography chapters and assign GC IDs
BOUNDARIES — work only in batch-04/; register only CHAPTER rows from the confirmed split_plan.csv;
never reuse or renumber an ID.
1. DUPLICATE CHECK — compare each chapter title (normalised) with GC001–GC035 in corpus/biography/ and the
   batch-04 manifest. "Chapter 1 Early Years" etc. are already GC021–GC035. A match → list it, do not register.
2. IDs — from GC036 upward, in chapter order. Theme is always C.
3. TITLE — "&lt;Chapter N&gt;: &lt;Chapter title&gt;" as in GC021–GC035 (Prologue / Epilogue: "PROLOGUE: &lt;title&gt;").
4. DATE — the START of the period the chapter covers, as text YYYY-MM-DD with date_precision
   (day / month → YYYY-MM-01 / year → YYYY-01-01). Put the full period ("1955–1959", "early 1990s") in
   the manifest note. Never write free text like "Childhood" in the date (that is defect D-7).
5. MANIFEST ROW: source=&lt;chapter file&gt;, material_type=biography chapter, title, publication_date,
   date_precision, publisher=&lt;biography publisher&gt;, theme=C, theme_reason="biography",
   rights_consent_status=&lt;biographer's permission — FLAG if not on file&gt;, doc_id, book_title=&lt;biography title&gt;,
   chapter_no, est_words, note="period: …; biographer: &lt;name&gt;".
6. intake_biography_report.md: IDs used, duplicates, rights flags.
SELF-CHECKS — one row per confirmed new chapter; every date is YYYY-MM-DD with a precision.
FLAG — unclear rights from the biographer · no identifiable period for a chapter.
STOP for the team to confirm.</t>
        </is>
      </c>
      <c r="F23" s="6" t="inlineStr">
        <is>
          <t>intake_manifest.csv rows + intake_biography_report.md</t>
        </is>
      </c>
      <c r="G23" s="6" t="inlineStr">
        <is>
          <t>Confirm IDs, period dates, biographer rights</t>
        </is>
      </c>
      <c r="H23" s="6" t="inlineStr">
        <is>
          <t>[ ]</t>
        </is>
      </c>
    </row>
    <row r="24">
      <c r="A24" s="6" t="inlineStr">
        <is>
          <t>G2</t>
        </is>
      </c>
      <c r="B24" s="6" t="inlineStr">
        <is>
          <t>Chapter files → contract .md</t>
        </is>
      </c>
      <c r="C24" s="6" t="inlineStr">
        <is>
          <t>CE-1a</t>
        </is>
      </c>
      <c r="D24" s="6" t="inlineStr">
        <is>
          <t>Cowork · Member 2</t>
        </is>
      </c>
      <c r="E24" s="6" t="inlineStr">
        <is>
          <t>G2 — write batch-04/data_text/GC&lt;NNN&gt;.md for every confirmed biography chapter
BOUNDARIES — write only batch-04/data_text/; never data/text/ (that is CE-4). No rewording.
For each manifest row (material_type = biography chapter):
   # &lt;Title from the manifest&gt;
   Date:       &lt;YYYY-MM-DD&gt;
   Publisher:  &lt;publisher of the biography&gt;
   Source:     &lt;biography title&gt;, &lt;biographer&gt;, &lt;year&gt;, pp. x–y
   By: &lt;biographer's name&gt;
   &lt;chapter text: epigraph as "&gt; quote", paragraphs separated by blank lines, sub-headings as "## …"&gt;
- Take the text from the G0 chapter file and drop its first "# …" line (the manifest title replaces it).
- No YAML, no '---' lines, no backslash escapes, no stray "__" / "*" markup.
SELF-CHECKS — one file per row; header lines as above; body words within ±5% of split_plan word_count.
Write batch-04/source_check_biography.md with word counts and any gaps.</t>
        </is>
      </c>
      <c r="F24" s="6" t="inlineStr">
        <is>
          <t>data_text/GC&lt;NNN&gt;.md</t>
        </is>
      </c>
      <c r="G24" s="6" t="inlineStr">
        <is>
          <t>Skim 5 files against the original</t>
        </is>
      </c>
      <c r="H24" s="6" t="inlineStr">
        <is>
          <t>[ ]</t>
        </is>
      </c>
    </row>
    <row r="25">
      <c r="A25" s="6" t="inlineStr">
        <is>
          <t>G3</t>
        </is>
      </c>
      <c r="B25" s="6" t="inlineStr">
        <is>
          <t>Enrichment — biography chapters (biographer's voice)</t>
        </is>
      </c>
      <c r="C25" s="6" t="inlineStr">
        <is>
          <t>CE-1b</t>
        </is>
      </c>
      <c r="D25" s="6" t="inlineStr">
        <is>
          <t>Cowork · Member 2 (Claude drafts)</t>
        </is>
      </c>
      <c r="E25" s="6" t="inlineStr">
        <is>
          <t>G3 — one enriched row per biography chapter → batch-04/biography_enriched.xlsx
(sheet cjp_biography_curated; the same 15 fields in order: Date | Title | Article Code | Link | Keyword/s |
primary_topics | sub_topics | signature_phrases | entities | stances | notable_anecdotes | target_audience |
register_markers | decision_framework_signals | one_paragraph_summary)
REFERENCE — read GC001, GC002 and GC021 in data/csv/cjp_biography_curated_normalized.xlsx first.
BIOGRAPHY-SPECIFIC RULES
- The narrator is the BIOGRAPHER. Stances are the biographer's claims about CJP; set confidence to
  "biographer-asserted" (or "quoted from CJP" when the chapter quotes him directly).
- signature_phrases: VERBATIM from the chapter. Prefer lines that quote CJP or capture his principles;
  the biographer's best lines may be included. Check every phrase by string search.
- register_markers: include the biographer's voice (e.g. "Reginald T. Yu authorial voice — …").
- entities.people: always include "Artemio V. Panganiban (subject)"; add "(role)" after each name.
- Link: blank unless the biography is online.
- Date as TEXT from the manifest.
- Typical sizes (existing biography): Keyword/s ~5 · primary_topics ~5 · sub_topics ~19 ·
  signature_phrases ~10 · stances ~6 · notable_anecdotes ~9 · target_audience ~5 · register_markers ~7 ·
  decision_framework_signals ~6 · summary ~300 words. Never pad a short chapter.
- Everything from the chapter text only — no outside facts about his life.
SELF-CHECKS — row count == biography rows in the manifest; every JSON cell parses; 100% phrases verbatim;
every Date is text YYYY-MM-DD.</t>
        </is>
      </c>
      <c r="F25" s="6" t="inlineStr">
        <is>
          <t>biography_enriched.xlsx</t>
        </is>
      </c>
      <c r="G25" s="6" t="inlineStr">
        <is>
          <t>—</t>
        </is>
      </c>
      <c r="H25" s="6" t="inlineStr">
        <is>
          <t>[ ]</t>
        </is>
      </c>
    </row>
    <row r="26">
      <c r="A26" s="6" t="inlineStr">
        <is>
          <t>G4</t>
        </is>
      </c>
      <c r="B26" s="6" t="inlineStr">
        <is>
          <t>QA — biography rows</t>
        </is>
      </c>
      <c r="C26" s="6" t="inlineStr">
        <is>
          <t>CE-1b QA</t>
        </is>
      </c>
      <c r="D26" s="6" t="inlineStr">
        <is>
          <t>Cowork · Member 2</t>
        </is>
      </c>
      <c r="E26" s="6" t="inlineStr">
        <is>
          <t>G4 — QA for the batch-04 BIOGRAPHY rows, then a spot-check sheet.
Read-only except batch-04/qa_biography.md and batch-04/spot_check_biography.xlsx.
1. Re-run the G2 and G3 self-checks.
2. Per row against its .md: phrases verbatim; people in the text; anecdotes in the text; summary supported;
   no stance attributed to CJP that the text only has the biographer saying.
3. Chronology: dates increase with chapter order (report any that go backwards, with the period note).
4. 10 random rows (seed = 4) → spot_check_biography.xlsx; qa_biography.md with every failure.
STOP. After fixes and the signed spot check, continue with P5 in BATCH-04_PROMPTS.md.</t>
        </is>
      </c>
      <c r="F26" s="6" t="inlineStr">
        <is>
          <t>qa_biography.md + spot_check_biography.xlsx</t>
        </is>
      </c>
      <c r="G26" s="6" t="inlineStr">
        <is>
          <t>Sign off 10 rows</t>
        </is>
      </c>
      <c r="H26" s="6" t="inlineStr">
        <is>
          <t>[ ]</t>
        </is>
      </c>
    </row>
    <row r="27">
      <c r="A27" s="12" t="inlineStr">
        <is>
          <t>SHARED MERGE — all tracks · file: BATCH-04_PROMPTS.md · P6 onwards only after correction batch-03</t>
        </is>
      </c>
      <c r="B27" s="13" t="n"/>
      <c r="C27" s="13" t="n"/>
      <c r="D27" s="13" t="n"/>
      <c r="E27" s="13" t="n"/>
      <c r="F27" s="13" t="n"/>
      <c r="G27" s="13" t="n"/>
      <c r="H27" s="13" t="n"/>
    </row>
    <row r="28">
      <c r="A28" s="6" t="inlineStr">
        <is>
          <t>P5</t>
        </is>
      </c>
      <c r="B28" s="6" t="inlineStr">
        <is>
          <t>Normalise and validate (writes scripts/normalise_curated.py)</t>
        </is>
      </c>
      <c r="C28" s="6" t="inlineStr">
        <is>
          <t>CE-2</t>
        </is>
      </c>
      <c r="D28" s="6" t="inlineStr">
        <is>
          <t>Claude Code · Member 1</t>
        </is>
      </c>
      <c r="E28" s="6" t="inlineStr">
        <is>
          <t>CE-2 — write scripts/normalise_curated.py (the W1.2 normaliser is not in either repo — defect D-4)
and run it on batch-04
BOUNDARIES
- Do NOT modify data/csv/*_curated_normalized.xlsx, data/text/, corpus/ or any existing script.
- New file: scripts/normalise_curated.py. Every knob (encodings, schema width, ID regex) from config.py
  — CURATED_SCHEMA_COLUMNS, DOC_ID_REGEX_PADDED, FILE_ENCODING, JSON_ENSURE_ASCII. No new literals.
- Input batch-04/{columns,books,speeches,biography}_enriched.xlsx (whichever exist) → output
  batch-04/&lt;same name&gt;_enriched_normalized.xlsx.
  Never overwrite the input.
STEPS
1. Validate the header: exactly the 15 columns in schema order. STOP on any difference.
2. Per row:
   - Article Code matches DOC_ID_REGEX_PADDED and is not in corpus/ or retired_doc_ids.csv.
   - Date is text YYYY-MM-DD and a real calendar date. Convert NOTHING silently — a datetime,
     float or other string is an error, not something to coerce.
   - Repair cp1252 mojibake (e.g. 'â€™' → '’', 'â€”' → '—'); normalise curly quotes and dashes the same
     way the existing pinned sheets do (sample 20 existing rows first and report what they use).
   - Parse every JSON field (json first, then ast.literal_eval); check the types in the Data Flow
     sheet §3; entities keys ⊆ {people, institutions, places, cases, laws_treaties, events}.
   - Strip whitespace in list items; drop empty strings; keep original case (the existing sheets are
     NOT casefolded — report this difference from the old W1.2 spec rather than casefolding).
3. Write the normalized workbooks: dates as text, JSON re-serialised with ensure_ascii from config.
4. Report: rows in/out, cells changed per column with before → after examples, every unparseable or
   invalid field (row, column, value).
SELF-CHECKS (must pass)
- mojibake count in output = 0 (search for 'â€', 'Ã', '\ufffd').
- Re-running the script on its own output changes 0 cells (idempotent).
- Assert on a known multi-byte string that UTF-8 survives the round trip.
FLAG, DO NOT FIX
- Any schema violation (STOP) · an invalid date · an ID collision · a JSON cell that does not parse.</t>
        </is>
      </c>
      <c r="F28" s="6" t="inlineStr">
        <is>
          <t>&lt;type&gt;_enriched_normalized.xlsx + change report</t>
        </is>
      </c>
      <c r="G28" s="6" t="inlineStr">
        <is>
          <t>Read the change report</t>
        </is>
      </c>
      <c r="H28" s="6" t="inlineStr">
        <is>
          <t>[ ]</t>
        </is>
      </c>
    </row>
    <row r="29">
      <c r="A29" s="6" t="inlineStr">
        <is>
          <t>P6</t>
        </is>
      </c>
      <c r="B29" s="6" t="inlineStr">
        <is>
          <t>Merge, generate, re-pin — ONLY after batch-03 is promoted</t>
        </is>
      </c>
      <c r="C29" s="6" t="inlineStr">
        <is>
          <t>CE-4</t>
        </is>
      </c>
      <c r="D29" s="6" t="inlineStr">
        <is>
          <t>Claude Code · Member 1</t>
        </is>
      </c>
      <c r="E29" s="6" t="inlineStr">
        <is>
          <t>CE-4 — append batch-04 to the pinned sheets, move the sources, regenerate, re-pin
BOUNDARIES
- Precondition: batch-03 is promoted and tagged. If not, STOP.
- Append-only: existing rows in data/csv/*_curated_normalized.xlsx must stay byte-for-byte equal
  in content. Existing data/text/*.md and corpus/ files must not change.
- Use scripts/generate_corpus_from_xlsx.py unchanged. Do not hand-edit corpus/.
STEPS
1. Snapshot before: sha256 of every data/text/*.md and every corpus/*/*/*.md|.json (CRLF-normalised),
   and a per-row hash of each pinned sheet.
2. Append the rows of each batch-04/&lt;type&gt;_enriched_normalized.xlsx to the matching pinned sheet
   data/csv/cjp_&lt;columns|books|speeches|biography&gt;_curated_normalized.xlsx
   (first sheet, after the last row). Write Date as text.
3. Copy batch-04/data_text/*.md to data/text/ (cp -n; STOP if a name already exists).
4. python scripts/generate_corpus_from_xlsx.py --dry-run → expect total = 1,104 + n, summary-fallback 0,
   retired 5, no bad codes or duplicates. STOP otherwise. Then run it for real.
5. Content-aware diff against step 1: the ONLY changes allowed are n new rows, n new data/text files and
   2n new corpus files. STOP if any pre-existing file or row changed.
6. python scripts/build_corpus_snapshot.py &amp;&amp; python scripts/verify_pin.py → must PASS.
7. Report counts before/after per type and the exact list of new IDs.
SELF-CHECKS
- IDs in active xlsx rows == data/text/*.md == corpus docs (the three sets are identical).
- verify_pin exits 0.
FLAG, DO NOT FIX
- Any pre-existing hash that moved (STOP and restore) · generator warnings · a new doc with no body.</t>
        </is>
      </c>
      <c r="F29" s="6" t="inlineStr">
        <is>
          <t>pinned sheets +n rows · data/text · corpus/ · corpus_snapshot.json</t>
        </is>
      </c>
      <c r="G29" s="6" t="inlineStr">
        <is>
          <t>Attest the content diff</t>
        </is>
      </c>
      <c r="H29" s="6" t="inlineStr">
        <is>
          <t>[ ]</t>
        </is>
      </c>
    </row>
    <row r="30">
      <c r="A30" s="6" t="inlineStr">
        <is>
          <t>P7</t>
        </is>
      </c>
      <c r="B30" s="6" t="inlineStr">
        <is>
          <t>Chunk, index, topic map, eval, promote</t>
        </is>
      </c>
      <c r="C30" s="6" t="inlineStr">
        <is>
          <t>CE-5 … CE-14</t>
        </is>
      </c>
      <c r="D30" s="6" t="inlineStr">
        <is>
          <t>Claude Code · Member 1 → Member 3</t>
        </is>
      </c>
      <c r="E30" s="6" t="inlineStr">
        <is>
          <t>CE-5…CE-14 for batch-04 — follow the Corpus Expansion sheet rows in order; this prompt only fixes the order and gates.
BOUNDARIES
- The dense/sparse/centroid build scripts and app/embeddings.py, app/retrieval.py, app/sparse.py are
  currently only in C:\Reachy Mini Project 2026. Until the code is reconciled into the Final Project
  Folder, run CE-5…CE-14 there, on a copy of the Final Project Folder's data/ and corpus/, and bring the
  outputs back.
- One encoder, one dimensionality (bge-base-en-v1.5 @768d) for the WHOLE corpus. STOP on any mismatch.
STEPS (each is the paste-ready prompt in its Corpus Expansion row)
CE-5 chunk new docs only → CE-6 full re-embed + sparse + date index → CE-7 orphan census →
CE-8 human decision (retag / expand / rebuild) → CE-9/10 only on those branches →
CE-11 add gold questions for the new material of every track (≥1 grounding, 1 exact-identifier, 1 temporal,
1 out-of-scope) → CE-12 promotion eval (fabrication 0; no regression on pre-existing gold) →
CE-13 threshold re-check → CE-14 provenance, rollback note, attestation, then tag.</t>
        </is>
      </c>
      <c r="F30" s="6" t="inlineStr">
        <is>
          <t>new baseline tag + provenance</t>
        </is>
      </c>
      <c r="G30" s="6" t="inlineStr">
        <is>
          <t>Attest, then tag</t>
        </is>
      </c>
      <c r="H30" s="6" t="inlineStr">
        <is>
          <t>[ ]</t>
        </is>
      </c>
    </row>
    <row r="31">
      <c r="A31" s="6" t="inlineStr">
        <is>
          <t>P8</t>
        </is>
      </c>
      <c r="B31" s="6" t="inlineStr">
        <is>
          <t>Update the records and every quoted count</t>
        </is>
      </c>
      <c r="C31" s="6" t="inlineStr">
        <is>
          <t>CE-15</t>
        </is>
      </c>
      <c r="D31" s="6" t="inlineStr">
        <is>
          <t>Cowork · Member 2</t>
        </is>
      </c>
      <c r="E31" s="6" t="inlineStr">
        <is>
          <t>CE-15 — refresh every quoted number and the trackers after batch-04 is promoted
STEPS
1. Changelist (file · old text · new text) of every place that quotes the corpus / chunk / topic count
   or the next free IDs: CJAP_Robot_Project_Plan_v2.xlsx (Data Flow §4 register and totals),
   CJAP_Pilot_Tracker_v10.xlsx (CM-5, CM-6), corpus/MANIFEST.md, the client one-pagers in deliverables/,
   and the handover deck. Apply only after review.
2. Mark CM-5 and CM-6 Done with evidence paths; add the batch-04 row to the decisions register (CE-8 branch).
3. Update the project note claude/CJAP_corpus_data_flow_status.md.</t>
        </is>
      </c>
      <c r="F31" s="6" t="inlineStr">
        <is>
          <t>changelist + updated trackers</t>
        </is>
      </c>
      <c r="G31" s="6" t="inlineStr">
        <is>
          <t>Approve the changelist</t>
        </is>
      </c>
      <c r="H31" s="6" t="inlineStr">
        <is>
          <t>[ ]</t>
        </is>
      </c>
    </row>
    <row r="32"/>
    <row r="33">
      <c r="A33" s="12" t="inlineStr">
        <is>
          <t>Notes — (1) Columns and speeches: Claude writes the .md and the enriched row in one pass per item; books and biography are split first (B0/G0) because the split decides how many IDs are needed. (2) Every date is text YYYY-MM-DD plus a precision (day / month / year) — never free text (D-7). (3) File-conversion markup (\. escapes, stray __ or *) is stripped at split/convert time (D-9). (4) Signature phrases are always verbatim from the source text. (5) Prompt cells over 409 pt tall are cut off on screen only — click the cell or use the .md file to copy the full text.</t>
        </is>
      </c>
      <c r="B33" s="13" t="n"/>
      <c r="C33" s="13" t="n"/>
      <c r="D33" s="13" t="n"/>
      <c r="E33" s="13" t="n"/>
      <c r="F33" s="13" t="n"/>
      <c r="G33" s="13" t="n"/>
      <c r="H33" s="13"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ht="26" customHeight="1">
      <c r="A1" s="1" t="inlineStr">
        <is>
          <t>SOURCE FILE CONTRACT — data/text/&lt;DOC_ID&gt;.md</t>
        </is>
      </c>
      <c r="B1" s="2" t="n"/>
    </row>
    <row r="3">
      <c r="A3" s="9" t="inlineStr">
        <is>
          <t>What it is</t>
        </is>
      </c>
      <c r="B3" s="6" t="inlineStr">
        <is>
          <t>The raw text of ONE document, exactly as he wrote it, in one fixed shape. This is the INPUT to enrichment and to the corpus generator. One file per document; the filename IS the doc ID.</t>
        </is>
      </c>
    </row>
    <row r="5" ht="20" customHeight="1">
      <c r="A5" s="3" t="inlineStr">
        <is>
          <t>THE CONTRACT</t>
        </is>
      </c>
      <c r="B5" s="4" t="n"/>
    </row>
    <row r="6">
      <c r="A6" s="5" t="inlineStr">
        <is>
          <t>Encoding</t>
        </is>
      </c>
      <c r="B6" s="6" t="inlineStr">
        <is>
          <t>UTF-8. No BOM required, but utf-8-sig is tolerated on read.</t>
        </is>
      </c>
    </row>
    <row r="7">
      <c r="A7" s="5" t="inlineStr">
        <is>
          <t>Line 1</t>
        </is>
      </c>
      <c r="B7" s="6" t="inlineStr">
        <is>
          <t>The title, exactly as the enriched row's Title field has it. A leading '# ' is accepted.</t>
        </is>
      </c>
    </row>
    <row r="8">
      <c r="A8" s="5" t="inlineStr">
        <is>
          <t>Header block</t>
        </is>
      </c>
      <c r="B8" s="6" t="inlineStr">
        <is>
          <t>Date / Publisher / Source, one per line, label then the value. Date is ISO YYYY-MM-DD.</t>
        </is>
      </c>
    </row>
    <row r="9">
      <c r="A9" s="5" t="inlineStr">
        <is>
          <t>Blank line</t>
        </is>
      </c>
      <c r="B9" s="6" t="inlineStr">
        <is>
          <t>Then the body.</t>
        </is>
      </c>
    </row>
    <row r="10">
      <c r="A10" s="5" t="inlineStr">
        <is>
          <t>Body</t>
        </is>
      </c>
      <c r="B10" s="6" t="inlineStr">
        <is>
          <t>Paragraphs separated by blank lines. His own sub-headings as '## '. Block quotes as '&gt; '.</t>
        </is>
      </c>
    </row>
    <row r="11">
      <c r="A11" s="14" t="inlineStr">
        <is>
          <t>FORBIDDEN</t>
        </is>
      </c>
      <c r="B11" s="6" t="inlineStr">
        <is>
          <t>No YAML front matter. No line that is exactly '---'. No backslash escapes or stray __ / * left by document conversion. The generator strips a stray YAML block and reports it — do not rely on that.</t>
        </is>
      </c>
    </row>
    <row r="12">
      <c r="A12" s="5" t="inlineStr">
        <is>
          <t>One rule that bites</t>
        </is>
      </c>
      <c r="B12" s="6" t="inlineStr">
        <is>
          <t>The title line must EQUAL the sheet's Title. If it does not, the generator fails to recognise it and leaks the title into the body. That was defect D-10.</t>
        </is>
      </c>
    </row>
    <row r="14" ht="20" customHeight="1">
      <c r="A14" s="3" t="inlineStr">
        <is>
          <t>CANONICAL TEMPLATE — copy this shape</t>
        </is>
      </c>
      <c r="B14" s="4" t="n"/>
    </row>
    <row r="15" ht="190" customHeight="1">
      <c r="A15" s="15" t="inlineStr">
        <is>
          <t>TEMPLATE</t>
        </is>
      </c>
      <c r="B15" s="16" t="inlineStr">
        <is>
          <t xml:space="preserve"># &lt;Title, exactly as the enriched row's Title field&gt;
Date:       &lt;YYYY-MM-DD&gt;
Publisher:  &lt;publisher&gt;
Source:     &lt;URL, or "file: &lt;name&gt;"&gt;
By: Artemio V. Panganiban
&lt;first paragraph of the body&gt;
## &lt;his own sub-heading, if the piece has them&gt;
&lt;next paragraph&gt;
&gt; &lt;a block quote, if he quotes something at length&gt;
</t>
        </is>
      </c>
    </row>
    <row r="17" ht="20" customHeight="1">
      <c r="A17" s="3" t="inlineStr">
        <is>
          <t>FOUR REAL SAMPLES — pulled live from data/text/ when this workbook was built</t>
        </is>
      </c>
      <c r="B17" s="4" t="n"/>
    </row>
    <row r="18" ht="200" customHeight="1">
      <c r="A18" s="17" t="inlineStr">
        <is>
          <t>COLUMN — CA003</t>
        </is>
      </c>
      <c r="B18" s="16" t="inlineStr">
        <is>
          <t>Pivotal issue in Duterte's ICC case
Date:       2025-03-24
Publisher:  Philippine Daily Inquirer (Inquirer Opinion)
Source:     https://opinion.inquirer.net/181839/pivotal-issue-in-dutertes-icc-case
By: Artemio V. Panganiban | 04:30 AM March 24, 2025
Comments long and short, wide and narrow, partisan and neutral on the indictment for the crime against humanity of mass murder, arrest in the Philippines, airlift via a chartered jet to, and detention in The Netherlands of former president Rodrigo R. Duterte had been essayed, broadcasted, debated, and gossiped ad nauseam. I think it is time to tackle what I believe is the pivotal legal issue: The jurisdiction of the International Criminal Court (ICC) to conduct the trial and pass judgment on Duterte.
QUESTIONING THE VALIDITY OF THE ALLEGED “KIDNAPPING” OF DUTERTE is, I think, a long shot as the ICC had already settled that issue in similar 
… [truncated — 872 words in the real file]</t>
        </is>
      </c>
    </row>
    <row r="19" ht="200" customHeight="1">
      <c r="A19" s="17" t="inlineStr">
        <is>
          <t>BOOK — BA001</t>
        </is>
      </c>
      <c r="B19" s="16" t="inlineStr">
        <is>
          <t># With Due Respect (Vol. 1) -- Ch. 6: Can GMA Reign Beyond 2010?
Date:       2008-07-20
Publisher:  Philippine Daily Inquirer (Opinion)
Source:     With Due Respect (2011)
By: Artemio V. Panganiban
President Macapagal-Arroyo's present term expires on June 30, 2010. Can she legally extend her reign beyond that date? My answer: Yes, if our Congress, Supreme Court, Commission on Elections, and people will agree to a revision of our Constitution.
**Failed Cha-cha bid**
Let me begin my thesis by recalling the most recent bid for Charter change (Cha-cha). In 2006, during my term as chief justice, the allies of the President, led by then-Speaker Jose de Venecia Jr., launched a "people's initiative" to alter our form of government from presidential to parliamentary
Armed with the alleged signatures of 6.3 million voters, the Initiative's visible proponents-the Sigaw ng Bayan and the Union o
… [truncated — 893 words in the real file]</t>
        </is>
      </c>
    </row>
    <row r="20" ht="200" customHeight="1">
      <c r="A20" s="17" t="inlineStr">
        <is>
          <t>SPEECH — SB028</t>
        </is>
      </c>
      <c r="B20" s="16" t="inlineStr">
        <is>
          <t>LIBERTY, PROSPERITY AND THE RULE OF LAW FOR CPAS, CFOS AND CEOS
Date:       2021-07-03
Publisher:  cjpanganiban.com
Source:     https://cjpanganiban.com/liberty-prosperity-and-the-rule-of-law-for-cpas-cfo-and-ceos1/
Speech delivered by retired Chief Justice ARTEMIO V. PANGANIBAN as Guest Speaker and Inducting Officer during the General Assembly and Induction of Officers of the Philippine Institute of Certified Public Accountants (PICPA) held online on July 3, 2021.
---
Let me begin by congratulating your newly-inducted National President Marydith "Dolly" Miguel and your other equally-deserving officers. In the interest of transparency, may I disclose, at this point, that Dolly and I have had our friendly encounters in many publicly-listed companies, like PLDT, Metro Pacific Investments Corporation, Meralco, GMA7 Network, etc., she as the partner-in-charge of our external auditor, S
… [truncated — 2427 words in the real file]</t>
        </is>
      </c>
    </row>
    <row r="21" ht="200" customHeight="1">
      <c r="A21" s="17" t="inlineStr">
        <is>
          <t>BIOGRAPHY — GC021</t>
        </is>
      </c>
      <c r="B21" s="16" t="inlineStr">
        <is>
          <t>**Prologue*Dusk was setting in, extending shadows before nightfall. A man looked at the sky, quietly watching streaks of light fade into the darkness. He sat in a room full of memorabilia, souvenirs from travel, books he had written, a collection of honors and accolades reaped over a remarkable career. There were citations framed on the wall and photographs with men of history, leaders and king makers who counted him their equal. The accomplishments and regard had mattered enough that he commissioned this private museum built to house such glory. But without discounting the achievements of an extraordinary life, these no longer held his heart. Something happened that caused him to see the value of things in the light of eternity. He watched as stars began to flicker in the night sky. Tomorrow would be another day but he was happy to sit under a heaven bright with a constellation overhead
… [truncated — 3424 words in the real file]</t>
        </is>
      </c>
    </row>
    <row r="23" ht="60" customHeight="1">
      <c r="A23" s="18" t="inlineStr">
        <is>
          <t>HONEST NOTE</t>
        </is>
      </c>
      <c r="B23" s="8" t="inlineStr">
        <is>
          <t>The four samples above are real, and they do NOT all match the contract. CA003 has no '# ' on its title line; SB028 puts blank lines inside the header block, uses an ALL-CAPS title and contains a bare '---'; GC021 has no header block at all. These are legacy files from earlier intakes under looser rules. The contract above is what NEW intake must produce. Do not copy the legacy variance.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3"/>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22" customWidth="1" min="3" max="3"/>
    <col width="92" customWidth="1" min="4" max="4"/>
  </cols>
  <sheetData>
    <row r="1" ht="26" customHeight="1">
      <c r="A1" s="1" t="inlineStr">
        <is>
          <t>ENRICHED ROW — the 15-field curated schema</t>
        </is>
      </c>
      <c r="B1" s="2" t="n"/>
      <c r="C1" s="2" t="n"/>
      <c r="D1" s="2" t="n"/>
    </row>
    <row r="3">
      <c r="A3" s="9" t="inlineStr">
        <is>
          <t>Where it lives</t>
        </is>
      </c>
      <c r="B3" s="6" t="inlineStr">
        <is>
          <t>Authored per batch in  batch-&lt;id&gt;/&lt;type&gt;_enriched.xlsx  -&gt; normalised to _enriched_normalized.xlsx -&gt; appended into the PINNED workbook data/csv/cjp_&lt;columns|books|speeches|biography&gt;_curated_normalized.xlsx (first sheet).</t>
        </is>
      </c>
    </row>
    <row r="5" ht="20" customHeight="1">
      <c r="A5" s="3" t="inlineStr">
        <is>
          <t>THE FIELDS — in this exact order</t>
        </is>
      </c>
      <c r="B5" s="4" t="n"/>
      <c r="C5" s="4" t="n"/>
      <c r="D5" s="4" t="n"/>
    </row>
    <row r="6">
      <c r="A6" s="19" t="inlineStr">
        <is>
          <t>#</t>
        </is>
      </c>
      <c r="B6" s="19" t="inlineStr">
        <is>
          <t>Field</t>
        </is>
      </c>
      <c r="C6" s="19" t="inlineStr">
        <is>
          <t>Type</t>
        </is>
      </c>
      <c r="D6" s="19" t="inlineStr">
        <is>
          <t>Rule</t>
        </is>
      </c>
    </row>
    <row r="7">
      <c r="A7" s="20" t="n">
        <v>1</v>
      </c>
      <c r="B7" s="21" t="inlineStr">
        <is>
          <t>Date</t>
        </is>
      </c>
      <c r="C7" s="20" t="inlineStr">
        <is>
          <t>text YYYY-MM-DD</t>
        </is>
      </c>
      <c r="D7" s="20" t="inlineStr">
        <is>
          <t>Never a datetime, never a number. A real calendar date. Nothing is coerced — a datetime is an error to REPORT, not a value to convert silently.</t>
        </is>
      </c>
    </row>
    <row r="8">
      <c r="A8" s="20" t="n">
        <v>2</v>
      </c>
      <c r="B8" s="21" t="inlineStr">
        <is>
          <t>Title</t>
        </is>
      </c>
      <c r="C8" s="20" t="inlineStr">
        <is>
          <t>text</t>
        </is>
      </c>
      <c r="D8" s="20" t="inlineStr">
        <is>
          <t>Must equal the source file's title line.</t>
        </is>
      </c>
    </row>
    <row r="9">
      <c r="A9" s="20" t="n">
        <v>3</v>
      </c>
      <c r="B9" s="21" t="inlineStr">
        <is>
          <t>Article Code</t>
        </is>
      </c>
      <c r="C9" s="20" t="inlineStr">
        <is>
          <t>text</t>
        </is>
      </c>
      <c r="D9" s="20" t="inlineStr">
        <is>
          <t>The doc ID. Unique. Matches ^[CBSG][A-E]\d{3}$. Never a retired ID.</t>
        </is>
      </c>
    </row>
    <row r="10">
      <c r="A10" s="20" t="n">
        <v>4</v>
      </c>
      <c r="B10" s="21" t="inlineStr">
        <is>
          <t>Link</t>
        </is>
      </c>
      <c r="C10" s="20" t="inlineStr">
        <is>
          <t>text</t>
        </is>
      </c>
      <c r="D10" s="20" t="inlineStr">
        <is>
          <t>May be blank. NOTE: the biography sheet has NO Link column — 14 fields, not 15.</t>
        </is>
      </c>
    </row>
    <row r="11">
      <c r="A11" s="20" t="n">
        <v>5</v>
      </c>
      <c r="B11" s="21" t="inlineStr">
        <is>
          <t>Keyword/s</t>
        </is>
      </c>
      <c r="C11" s="20" t="inlineStr">
        <is>
          <t>JSON array of strings</t>
        </is>
      </c>
      <c r="D11" s="20" t="inlineStr">
        <is>
          <t>Names, cases, laws, key phrases. Multi-word keywords stay WHOLE — they become atomic terms in the sparse index.</t>
        </is>
      </c>
    </row>
    <row r="12">
      <c r="A12" s="20" t="n">
        <v>6</v>
      </c>
      <c r="B12" s="21" t="inlineStr">
        <is>
          <t>primary_topics</t>
        </is>
      </c>
      <c r="C12" s="20" t="inlineStr">
        <is>
          <t>JSON array of strings</t>
        </is>
      </c>
      <c r="D12" s="20" t="inlineStr">
        <is>
          <t>Full sentences: what the document is centrally about.</t>
        </is>
      </c>
    </row>
    <row r="13">
      <c r="A13" s="20" t="n">
        <v>7</v>
      </c>
      <c r="B13" s="21" t="inlineStr">
        <is>
          <t>sub_topics</t>
        </is>
      </c>
      <c r="C13" s="20" t="inlineStr">
        <is>
          <t>JSON array of strings</t>
        </is>
      </c>
      <c r="D13" s="20" t="inlineStr">
        <is>
          <t>Supporting points, in the order he makes them.</t>
        </is>
      </c>
    </row>
    <row r="14">
      <c r="A14" s="20" t="n">
        <v>8</v>
      </c>
      <c r="B14" s="21" t="inlineStr">
        <is>
          <t>signature_phrases</t>
        </is>
      </c>
      <c r="C14" s="20" t="inlineStr">
        <is>
          <t>JSON array of strings</t>
        </is>
      </c>
      <c r="D14" s="20" t="inlineStr">
        <is>
          <t>VERBATIM from the source file, 3-20 words. Checked character by character with curly quotes and dashes folded.</t>
        </is>
      </c>
    </row>
    <row r="15">
      <c r="A15" s="20" t="n">
        <v>9</v>
      </c>
      <c r="B15" s="21" t="inlineStr">
        <is>
          <t>entities</t>
        </is>
      </c>
      <c r="C15" s="20" t="inlineStr">
        <is>
          <t>JSON object</t>
        </is>
      </c>
      <c r="D15" s="20" t="inlineStr">
        <is>
          <t>Keys from: people, institutions, places, cases, laws_treaties, events. Each a list of strings.</t>
        </is>
      </c>
    </row>
    <row r="16">
      <c r="A16" s="20" t="n">
        <v>10</v>
      </c>
      <c r="B16" s="21" t="inlineStr">
        <is>
          <t>stances</t>
        </is>
      </c>
      <c r="C16" s="20" t="inlineStr">
        <is>
          <t>JSON array of objects</t>
        </is>
      </c>
      <c r="D16" s="20" t="inlineStr">
        <is>
          <t>{"claim", "rhetorical_move", "confidence"}. See the note below on confidence.</t>
        </is>
      </c>
    </row>
    <row r="17">
      <c r="A17" s="20" t="n">
        <v>11</v>
      </c>
      <c r="B17" s="21" t="inlineStr">
        <is>
          <t>notable_anecdotes</t>
        </is>
      </c>
      <c r="C17" s="20" t="inlineStr">
        <is>
          <t>JSON array of strings</t>
        </is>
      </c>
      <c r="D17" s="20" t="inlineStr">
        <is>
          <t>First-hand moments. [] is valid.</t>
        </is>
      </c>
    </row>
    <row r="18">
      <c r="A18" s="20" t="n">
        <v>12</v>
      </c>
      <c r="B18" s="21" t="inlineStr">
        <is>
          <t>target_audience</t>
        </is>
      </c>
      <c r="C18" s="20" t="inlineStr">
        <is>
          <t>JSON array of strings</t>
        </is>
      </c>
      <c r="D18" s="20" t="inlineStr">
        <is>
          <t>Who the piece is addressed to.</t>
        </is>
      </c>
    </row>
    <row r="19">
      <c r="A19" s="20" t="n">
        <v>13</v>
      </c>
      <c r="B19" s="21" t="inlineStr">
        <is>
          <t>register_markers</t>
        </is>
      </c>
      <c r="C19" s="20" t="inlineStr">
        <is>
          <t>JSON array of strings</t>
        </is>
      </c>
      <c r="D19" s="20" t="inlineStr">
        <is>
          <t>Tone, structure, rhetorical habits.</t>
        </is>
      </c>
    </row>
    <row r="20">
      <c r="A20" s="20" t="n">
        <v>14</v>
      </c>
      <c r="B20" s="21" t="inlineStr">
        <is>
          <t>decision_framework_signals</t>
        </is>
      </c>
      <c r="C20" s="20" t="inlineStr">
        <is>
          <t>JSON array of strings</t>
        </is>
      </c>
      <c r="D20" s="20" t="inlineStr">
        <is>
          <t>The tests and principles he applies.</t>
        </is>
      </c>
    </row>
    <row r="21">
      <c r="A21" s="20" t="n">
        <v>15</v>
      </c>
      <c r="B21" s="21" t="inlineStr">
        <is>
          <t>one_paragraph_summary</t>
        </is>
      </c>
      <c r="C21" s="20" t="inlineStr">
        <is>
          <t>text</t>
        </is>
      </c>
      <c r="D21" s="20" t="inlineStr">
        <is>
          <t>One paragraph, no line breaks. THIS IS EMBEDDED — it is appended to the generated .md and therefore chunked and indexed. A stale summary reaches the model.</t>
        </is>
      </c>
    </row>
    <row r="23" ht="58" customHeight="1">
      <c r="B23" s="18" t="inlineStr">
        <is>
          <t>confidence</t>
        </is>
      </c>
      <c r="C23" s="8" t="inlineStr">
        <is>
          <t>The schema declares exactly four values: asserted · asserted with evidence · hedged · reported (not his view). MEASURED 26 Sep 2026: 1,022 of 1,104 documents use something else, across 1,959 distinct values ('high' 1,552 times, missing 404). Nothing enforces it. Either enforce it at normalisation or amend the schema — do not leave it asserted and untrue.</t>
        </is>
      </c>
    </row>
    <row r="24" ht="58" customHeight="1">
      <c r="B24" s="18" t="inlineStr">
        <is>
          <t>entities keys</t>
        </is>
      </c>
      <c r="C24" s="8" t="inlineStr">
        <is>
          <t>103 documents use one of 45 keys outside the declared six (dates, concepts, laws, ...). Same decision needed.</t>
        </is>
      </c>
    </row>
    <row r="25" ht="58" customHeight="1">
      <c r="B25" s="18" t="inlineStr">
        <is>
          <t>Trailing columns</t>
        </is>
      </c>
      <c r="C25" s="8" t="inlineStr">
        <is>
          <t>The books and speeches workbooks physically carry 26 columns — 15 named and 11 empty. Harmless, but append to the NAMED 15 and do not widen the sheet further.</t>
        </is>
      </c>
    </row>
    <row r="27" ht="20" customHeight="1">
      <c r="A27" s="3" t="inlineStr">
        <is>
          <t>FOUR REAL ROWS — pulled live from the pinned workbooks</t>
        </is>
      </c>
      <c r="B27" s="4" t="n"/>
      <c r="C27" s="4" t="n"/>
      <c r="D27" s="4" t="n"/>
    </row>
    <row r="28">
      <c r="A28" s="22" t="inlineStr">
        <is>
          <t>COLUMN</t>
        </is>
      </c>
    </row>
    <row r="29" ht="44" customHeight="1">
      <c r="B29" s="17" t="inlineStr">
        <is>
          <t>Date</t>
        </is>
      </c>
      <c r="C29" s="16" t="inlineStr">
        <is>
          <t>2025-03-24</t>
        </is>
      </c>
    </row>
    <row r="30" ht="44" customHeight="1">
      <c r="B30" s="17" t="inlineStr">
        <is>
          <t>Title</t>
        </is>
      </c>
      <c r="C30" s="16" t="inlineStr">
        <is>
          <t>Pivotal issue in Duterte's ICC case</t>
        </is>
      </c>
    </row>
    <row r="31" ht="44" customHeight="1">
      <c r="B31" s="17" t="inlineStr">
        <is>
          <t>Article Code</t>
        </is>
      </c>
      <c r="C31" s="16" t="inlineStr">
        <is>
          <t>CA003</t>
        </is>
      </c>
    </row>
    <row r="32" ht="44" customHeight="1">
      <c r="B32" s="17" t="inlineStr">
        <is>
          <t>Link</t>
        </is>
      </c>
      <c r="C32" s="16" t="inlineStr">
        <is>
          <t>https://opinion.inquirer.net/181839/pivotal-issue-in-dutertes-icc-case</t>
        </is>
      </c>
    </row>
    <row r="33" ht="44" customHeight="1">
      <c r="B33" s="17" t="inlineStr">
        <is>
          <t>Keyword/s</t>
        </is>
      </c>
      <c r="C33" s="16" t="inlineStr">
        <is>
          <t>["Duterte ICC jurisdiction", "two-year prescriptive period", "Rome Statute Article 127", "Bensouda preliminary examination Feb 8 2018", "Karim Khan", "PTC authorization Sept 15 2021", "Appeals Chamber 3-2 ruling", "subsidiarity / complementarity principle", "OCP independence from ICC", "philippine withdrawal March 17 2019"]</t>
        </is>
      </c>
    </row>
    <row r="34" ht="44" customHeight="1">
      <c r="B34" s="17" t="inlineStr">
        <is>
          <t>primary_topics</t>
        </is>
      </c>
      <c r="C34" s="16" t="inlineStr">
        <is>
          <t>["Identification of the pivotal legal issue in former President Rodrigo Duterte's ICC case: jurisdiction of the ICC to conduct the trial and pass judgment", "Doctrinal walkthrough of the two-year prescriptive period under the Rome Statute from a state's withdrawal effective date", "Procedural timeline: PH withdrawal effective March 17, 2019; Bensouda's PTC petition May 24, 2021; PTC grant Sept 15, 2021 -- both more than two years post-withdrawal", "Appeals Chamber 3-2 ruling that the PH had not shown 'genuine willingness and ability to investigate and prosecute domestically' -- and the majority's refusal to take up the prescriptive issue because it was not raised on appeal", "Minority position (2 judges, one retired) on when the two-year clock starts: from the date of PTC grant of authority, not from the date the OCP unilaterally began its preliminary examination", "Author's respectful agreement with the minority based on Philippine law; caveat that European-style integration of prosecutors into the judicial system would defeat his view", "Practical consequence: if the motion-to-dismiss succeeds, Duterte could be freed; if denied or deferred, he may be detained for years before mer …[truncated]</t>
        </is>
      </c>
    </row>
    <row r="35" ht="44" customHeight="1">
      <c r="B35" s="17" t="inlineStr">
        <is>
          <t>sub_topics</t>
        </is>
      </c>
      <c r="C35" s="16" t="inlineStr">
        <is>
          <t>["Author's framing: comments on the indictment, arrest, chartered-jet airlift, and Netherlands detention have been 'essayed, broadcasted, debated, and gossiped ad nauseam'", "'Kidnapping' validity challenge dismissed as 'a long shot' because the ICC has settled similar issues; raising every conceivable angle (including frail medical condition) may merely delay release if Duterte is acquitted on merits", "Rome Statute procedural architecture: OCP has 2 years from effective state-withdrawal date to conduct preliminary examination and apply to the 3-member ICC Pre-Trial Chamber (PTC) for authority to conduct official investigation; thereafter, application for arrest warrant", "PH withdrawal effective March 17, 2019 (undisputed)", "May 24, 2021: Bensouda petitioned PTC for authority to investigate the 'situation' from Nov 1, 2011 to March 16, 2019 (period when PH was still an ICC member)", "Sept 15, 2021: PTC granted the petition", "OCP's counter-argument: Bensouda actually started preliminary examination on Feb 8, 2018, while PH was still an ICC member -- so the 2-year clock was not breached", "PTC denied PH petition to stop Karim Khan (Bensouda's successor) from continuing the invest …[truncated]</t>
        </is>
      </c>
    </row>
    <row r="36" ht="44" customHeight="1">
      <c r="B36" s="17" t="inlineStr">
        <is>
          <t>signature_phrases</t>
        </is>
      </c>
      <c r="C36" s="16" t="inlineStr">
        <is>
          <t>["essayed, broadcasted, debated, and gossiped ad nauseam", "I think it is time to tackle what I believe is the pivotal legal issue", "long shot", "I cannot blame the lawyers for raising every conceivable angle", "Au contraire", "In my Dec. 11, 2023 piece, I respectfully agreed with the minority's position", "the OCP is not an integral part of the ICC", "If this is not so, why is the OCP required to secure authority from the PTC to start the investigation?", "Given his advanced age and frail health, could he last that long?"]</t>
        </is>
      </c>
    </row>
    <row r="37" ht="44" customHeight="1">
      <c r="B37" s="17" t="inlineStr">
        <is>
          <t>entities</t>
        </is>
      </c>
      <c r="C37" s="16" t="inlineStr">
        <is>
          <t>{"people": ["Artemio V. Panganiban (author, retired CJ)", "Former President Rodrigo R. Duterte (subject of the ICC case)", "Fatou Bensouda (former ICC Chief Prosecutor)", "Karim Khan (current ICC Chief Prosecutor)"], "institutions": ["International Criminal Court (ICC)", "ICC Office of the Chief Prosecutor (OCP)", "ICC Pre-Trial Chamber (PTC, 3 members)", "ICC Appeals Chamber (AC, 5 members)", "Republic of the Philippines (former ICC member-state)", "The Netherlands (ICC seat / detention location)"], "cases": ["Duterte ICC case (mass-murder indictment; trial pending)", "PH petition to stop continuation of investigation (denied by PTC)", "PH appeal to ICC AC (denied 3-2)"], "laws_treaties": ["Rome Statute (creating the ICC)", "Rome Statute two-year prescriptive period after state withdrawal", "Subsidiarity / complementarity principle ('unwilling or unable genuinely to carry out the investigation')", "PH withdrawal from the ICC (effective March 17, 2019)"]}</t>
        </is>
      </c>
    </row>
    <row r="38" ht="44" customHeight="1">
      <c r="B38" s="17" t="inlineStr">
        <is>
          <t>stances</t>
        </is>
      </c>
      <c r="C38" s="16" t="inlineStr">
        <is>
          <t>[{"claim": "The pivotal legal issue in Duterte's ICC case is jurisdiction \u2014 specifically whether the ICC's investigation was timely initiated within the Rome Statute's two-year post-withdrawal window \u2014 not the validity of the alleged 'kidnapping' or his frail medical condition (which are 'long shots').", "rhetorical_move": "issue-spotting reframing of a noisy public debate", "evidence": "ICC's settled jurisprudence on similar 'kidnapping' challenges; author's procedural timeline analysis"}, {"claim": "If the two-year clock is measured from PTC authorization (Sept 15, 2021) rather than from the OCP's unilateral examination start (Feb 8, 2018), then the investigation is time-barred because both Bensouda's PTC petition (May 24, 2021) and the PTC grant are more than two years after PH withdrawal took effect on March 17, 2019.", "rhetorical_move": "calendar-arithmetic argument anchored on PTC-authorization-as-start", "evidence": "Three dated procedural events; Rome Statute two-year rule; minority position of two AC judges"}, {"claim": "The OCP is not an integral part of the ICC; otherwise, the Rome Statute would not require PTC authorization for the OCP to start the investigat …[truncated]</t>
        </is>
      </c>
    </row>
    <row r="39" ht="44" customHeight="1">
      <c r="B39" s="17" t="inlineStr">
        <is>
          <t>notable_anecdotes</t>
        </is>
      </c>
      <c r="C39" s="16" t="inlineStr">
        <is>
          <t>["Author opens by characterizing the public debate as 'essayed, broadcasted, debated, and gossiped ad nauseam' \u2014 used as a clearing move to push readers past noise and toward the jurisdictional core.", "Bensouda's careful date-selection (Feb 8, 2018 as preliminary-examination start, just before the PH withdrawal one-year-notice clock matured) framed as a deliberate prosecutorial maneuver to lock in jurisdiction before her successor took over.", "AC composition detail: 5-member panel split 3-2, with one of the dissenters already retired \u2014 a subtle note that the dissent has weight despite minority status.", "Author's self-citation to his Dec 11, 2023 column ('I respectfully agreed with the minority's position') signaling sustained engagement with the issue across columns.", "The bracketing rhetorical question: 'Given his advanced age and frail health, could he last that long?' \u2014 converting a procedural argument into a humanitarian-urgency framing."]</t>
        </is>
      </c>
    </row>
    <row r="40" ht="44" customHeight="1">
      <c r="B40" s="17" t="inlineStr">
        <is>
          <t>target_audience</t>
        </is>
      </c>
      <c r="C40" s="16" t="inlineStr">
        <is>
          <t>["Duterte's defense counsel and ICC defense teams generally", "ICC judges and registry staff at The Hague", "DFA, DOJ, and OSG counsel handling the PH-ICC relationship", "Senators and House members tracking the ICC engagement", "Civic-minded Filipino readers (pro and anti-Duterte) seeking the legal core of the case", "International law academe and ICC-watchers globally", "Drug-war victims' families and human-rights advocates"]</t>
        </is>
      </c>
    </row>
    <row r="41" ht="44" customHeight="1">
      <c r="B41" s="17" t="inlineStr">
        <is>
          <t>register_markers</t>
        </is>
      </c>
      <c r="C41" s="16" t="inlineStr">
        <is>
          <t>["issue-spotting register paired with doctrinal-tutorial structure", "ad-nauseam-clearing opener device", "all-caps section headers (THE PTC DENIED\u2026, ON THE OTHER HAND\u2026, IF DUTERTE\u2026)", "Au-contraire pivot phrase", "self-citation by column date ('In my Dec. 11, 2023 piece')", "rhetorical-question device ('If this is not so, why is the OCP required to secure authority\u2026?')", "calendar-arithmetic argumentation (three dates compared)", "comparative-law caveat (European prosecutorial integration)", "humanitarian-urgency closer ('Given his advanced age and frail health, could he last that long?')", "respectful-disagreement marker ('I respectfully agreed with the minority's position')"]</t>
        </is>
      </c>
    </row>
    <row r="42" ht="44" customHeight="1">
      <c r="B42" s="17" t="inlineStr">
        <is>
          <t>decision_framework_signals</t>
        </is>
      </c>
      <c r="C42" s="16" t="inlineStr">
        <is>
          <t>["applies the Rome Statute two-year post-withdrawal prescriptive period as the dispositive jurisdictional test", "treats PTC-authorization-date as the proper start of the two-year clock (minority view)", "uses OCP-not-integral-to-ICC structural argument from the requirement of PTC authorization", "deploys subsidiarity / complementarity principle as the AC majority's actual basis", "frames issue-preservation-on-appeal as the procedural reason the prescriptive issue was not reached", "applies comparative-law caveat (European prosecutor-as-judicial-system) as the strongest counter to author's own position"]</t>
        </is>
      </c>
    </row>
    <row r="43" ht="44" customHeight="1">
      <c r="B43" s="17" t="inlineStr">
        <is>
          <t>one_paragraph_summary</t>
        </is>
      </c>
      <c r="C43" s="16" t="inlineStr">
        <is>
          <t>Panganiban cuts through the public noise on the indictment, arrest, chartered-jet airlift, and Netherlands detention of former President Rodrigo R. Duterte -- comments 'essayed, broadcasted, debated, and gossiped ad nauseam' -- to identify what he believes is the pivotal legal issue: the jurisdiction of the International Criminal Court to conduct the trial and pass judgment. He treats challenges to the validity of the alleged 'kidnapping' as 'a long shot' (the ICC has settled similar issues) and notes that raising every conceivable angle, including Duterte's frail medical condition, may merely delay his release if he is later acquitted on merits. Under the Rome Statute, the ICC's Office of the Chief Prosecutor (OCP) has two years from a state's withdrawal effective date to conduct preliminary examination and to apply in the three-member Pre-Trial Chamber (PTC) for authority to conduct an official investigation. PH withdrawal took effect March 17, 2019; then-Chief Prosecutor Fatou Bensouda petitioned the PTC on May 24, 2021 to investigate the 'situation' from Nov 1, 2011 to March 16, 2019; the PTC granted the petition on Sept 15, 2021 -- both dates more than two years after the with …[truncated]</t>
        </is>
      </c>
    </row>
    <row r="45">
      <c r="A45" s="22" t="inlineStr">
        <is>
          <t>BOOK</t>
        </is>
      </c>
    </row>
    <row r="46" ht="44" customHeight="1">
      <c r="B46" s="17" t="inlineStr">
        <is>
          <t>Date</t>
        </is>
      </c>
      <c r="C46" s="16" t="inlineStr">
        <is>
          <t>2008-07-20</t>
        </is>
      </c>
    </row>
    <row r="47" ht="44" customHeight="1">
      <c r="B47" s="17" t="inlineStr">
        <is>
          <t>Title</t>
        </is>
      </c>
      <c r="C47" s="16" t="inlineStr">
        <is>
          <t>With Due Respect (Vol. 1) -- Ch. 6: Can GMA Reign Beyond 2010?</t>
        </is>
      </c>
    </row>
    <row r="48" ht="44" customHeight="1">
      <c r="B48" s="17" t="inlineStr">
        <is>
          <t>Article Code</t>
        </is>
      </c>
      <c r="C48" s="16" t="inlineStr">
        <is>
          <t>BA001</t>
        </is>
      </c>
    </row>
    <row r="49" ht="44" customHeight="1">
      <c r="B49" s="17" t="inlineStr">
        <is>
          <t>Link</t>
        </is>
      </c>
      <c r="C49" s="16" t="inlineStr">
        <is>
          <t>https://cjpanganiban.com/books-authored-by-chief-justice-artemio-v-panganiban/</t>
        </is>
      </c>
    </row>
    <row r="50" ht="44" customHeight="1">
      <c r="B50" s="17" t="inlineStr">
        <is>
          <t>Keyword/s</t>
        </is>
      </c>
      <c r="C50" s="16" t="inlineStr">
        <is>
          <t>["Can GMA Reign Beyond 2010?", "Charter change", "people's initiative", "constituent assembly", "a deception and a gigantic fraud", "revision, not a mere amendment", "three-fourths vote of all Members", "unlike Ferdinand Marcos... without martial law", "Gloria Macapagal-Arroyo", "Jose de Venecia Jr", "Antonio Carpio", "Reynato Puno", "Aquilino Pimentel", "Adolfo Azcuna", "Lambino v. Comelec", "1987 Constitution", "Article XVII", "1973 Constitution", "Supreme Court", "Congress"]</t>
        </is>
      </c>
    </row>
    <row r="51" ht="44" customHeight="1">
      <c r="B51" s="17" t="inlineStr">
        <is>
          <t>primary_topics</t>
        </is>
      </c>
      <c r="C51" s="16" t="inlineStr">
        <is>
          <t>["Chapter 6 of 'With Due Respect' (Vol. 1) -- CJP's July 20, 2008 Inquirer column analyzing whether GMA could legally extend her reign beyond June 30, 2010, concluding: yes, IF Congress, the Supreme Court, the Comelec and the people agree to a revision of the Constitution shifting to a parliamentary system", "A first-hand recap of the failed 2006 Charter-change bid (during CJP's term as Chief Justice): the de Venecia-allied 'people's initiative' (Sigaw ng Bayan and Ulap, 6.3 million alleged signatures), struck down 8-7 as 'a deception' and 'a gigantic fraud' because the full texts were not shown and because shifting to a parliamentary system is a 'revision, not a mere amendment' that an initiative cannot accomplish", "The new 'weapon of choice' -- the constituent assembly (Con-ass) -- and the pivotal legal question of whether Congress votes jointly or separately on a three-fourths proposal: a joint vote would let GMA's 200-plus House majority prevail even over a unanimous Senate", "His forecast that a depleted Supreme Court (the 2006 majority thinned by retirements, with GMA 'winning controversial cases') might validate a joint vote and 'wash its hands' to a manipulable Yes/No pleb …[truncated]</t>
        </is>
      </c>
    </row>
    <row r="52" ht="44" customHeight="1">
      <c r="B52" s="17" t="inlineStr">
        <is>
          <t>sub_topics</t>
        </is>
      </c>
      <c r="C52" s="16" t="inlineStr">
        <is>
          <t>["The thesis: GMA's term expires June 30, 2010, but she could legally extend her reign IF Congress, the Court, the Comelec and the people agree to revise the Constitution to a parliamentary form", "The 2006 'people's initiative': led by Speaker Jose de Venecia's allies, the Sigaw ng Bayan and the Union of Local Authorities (Ulap) gathered '6.3 million' alleged signatures and asked the Court to compel the Comelec to authenticate them and schedule a ratification plebiscite", "The 8-7 rejection (Lambino): the Court called the initiative 'a deception' and 'a gigantic fraud' because the signatures were gathered 'without first showing to the people the full texts of the proposed amendments,' and held that a presidential-to-parliamentary shift is a 'revision, not a mere amendment' beyond the reach of a people's initiative", "The line-up: the decision was penned by Justice Carpio (joined by Ynares-Santiago, Gutierrez, Austria-Martinez, Carpio-Morales, Callejo, Azcuna, and CJP himself), with the dissent by Justice Puno (joined by Quisumbing, Corona, Tinga, Chico-Nazario, Garcia and Velasco); three of the eight (Gutierrez, Callejo, Panganiban) have since retired", "Why not initiative or Con- …[truncated]</t>
        </is>
      </c>
    </row>
    <row r="53" ht="44" customHeight="1">
      <c r="B53" s="17" t="inlineStr">
        <is>
          <t>signature_phrases</t>
        </is>
      </c>
      <c r="C53" s="16" t="inlineStr">
        <is>
          <t>["a deception and a gigantic fraud", "revision, not a mere amendment", "three-fourths vote of all Members", "a mere raising of hands during citizens' assemblies", "unlike Ferdinand Marcos... without martial law"]</t>
        </is>
      </c>
    </row>
    <row r="54" ht="44" customHeight="1">
      <c r="B54" s="17" t="inlineStr">
        <is>
          <t>entities</t>
        </is>
      </c>
      <c r="C54" s="16" t="inlineStr">
        <is>
          <t>{"people": ["Artemio V. Panganiban (columnist; part of the 2006 Lambino majority)", "Gloria Macapagal-Arroyo (GMA); Speaker Jose de Venecia Jr. (initiative proponent)", "Justice Antonio Carpio (ponente) and the majority; Chief Justice Reynato Puno (dissenter) and the dissenters", "Senator Aquilino Pimentel (federalism proposal); Justice Adolfo Azcuna (turning 70 on Feb 6, 2009)"], "institutions": ["Supreme Court (the 8-7 Lambino ruling)", "Congress (the constituent-assembly route); the Comelec; Namfrel and PPCRV (vote guardians)", "Sigaw ng Bayan and the Union of Local Authorities of the Philippines (Ulap); the Lakas-Kampi coalition"], "cases": ["Lambino v. Comelec (the 2006 people's-initiative case, decided 8-7)"], "laws_treaties": ["1987 Constitution, Article XVII (amendment vs. revision; constituent assembly; the 60-90-day plebiscite rule)", "the 1973 (Marcos) Constitution (the 'citizens' assemblies' precedent)"], "events": ["The 2006 people's-initiative Charter-change bid", "The anticipated 2008-2009 constituent-assembly push and 2010 elections"]}</t>
        </is>
      </c>
    </row>
    <row r="55" ht="44" customHeight="1">
      <c r="B55" s="17" t="inlineStr">
        <is>
          <t>stances</t>
        </is>
      </c>
      <c r="C55" s="16" t="inlineStr">
        <is>
          <t>[{"claim": "GMA could legally remain in power beyond June 30, 2010 only by revising the Constitution to a parliamentary system -- and only if Congress, the Supreme Court, the Comelec and the people all concur; a people's initiative is foreclosed because a system shift is a 'revision, not a mere amendment,' as the 2006 Lambino ruling held (8-7).", "rhetorical_move": "doctrinal gatekeeping: identifying the constitutional preconditions and ruling out the initiative route on the amendment-vs-revision distinction", "confidence": "asserted from first-hand authorship of the 2006 majority"}, {"claim": "The Palace's viable vehicle is a constituent assembly, where the decisive legal question is joint vs. separate voting: a joint three-fourths count would let GMA's 200-plus House majority prevail even over a unanimous Senate -- a reading a depleted, GMA-favorable Court might validate before passing the question to a manipulable Yes/No plebiscite.", "rhetorical_move": "mechanism analysis plus forecast: isolating the joint-vote pivot and predicting institutional behavior", "confidence": "presented as analysis and prediction, hedged"}, {"claim": "Such a plebiscite would be 'easy to manipulate,'  …[truncated]</t>
        </is>
      </c>
    </row>
    <row r="56" ht="44" customHeight="1">
      <c r="B56" s="17" t="inlineStr">
        <is>
          <t>notable_anecdotes</t>
        </is>
      </c>
      <c r="C56" s="16" t="inlineStr">
        <is>
          <t>["A Chief Justice's first-hand account: CJP recounts that the 2006 'people's initiative' was struck down 8-7 during his own term, and names himself among the majority -- a rare insider's recap of how 'a deception and a gigantic fraud' was rejected.", "The amendment-vs-revision linchpin: he stresses that shifting from a presidential to a parliamentary system is a 'revision, not a mere amendment,' which a people's initiative cannot accomplish -- the doctrinal heart of the case.", "The joint-vote arithmetic: he shows how, with 200-plus of 240 House members, GMA's coalition could reach a three-fourths 'vote of all Members' in a joint session 'even if all the senators' opposed.", "Raising of hands: he recalls that the Marcos Constitution was 'approved by a mere raising of hands during citizens' assemblies,' a 'scandalous voting process validated by a compliant Supreme Court' -- a warning about a manipulable plebiscite."]</t>
        </is>
      </c>
    </row>
    <row r="57" ht="44" customHeight="1">
      <c r="B57" s="17" t="inlineStr">
        <is>
          <t>target_audience</t>
        </is>
      </c>
      <c r="C57" s="16" t="inlineStr">
        <is>
          <t>["Students of constitutional law studying amendment vs. revision and the modes of Charter change", "Citizens and the 'middle forces' tracking the Cha-cha threat", "Readers following CJP's constitutional analysis (the Lambino line)"]</t>
        </is>
      </c>
    </row>
    <row r="58" ht="44" customHeight="1">
      <c r="B58" s="17" t="inlineStr">
        <is>
          <t>register_markers</t>
        </is>
      </c>
      <c r="C58" s="16" t="inlineStr">
        <is>
          <t>["doctrinal-political analysis register -- a former Chief Justice dissecting Charter-change mechanics", "first-person insider recap of Lambino", "amendment-vs-revision and joint-vs-separate-vote as the legal pivots", "Marcos-plebiscite historical parallel", "scenario-and-timeline forecasting"]</t>
        </is>
      </c>
    </row>
    <row r="59" ht="44" customHeight="1">
      <c r="B59" s="17" t="inlineStr">
        <is>
          <t>decision_framework_signals</t>
        </is>
      </c>
      <c r="C59" s="16" t="inlineStr">
        <is>
          <t>["amendment-vs-revision: a system shift is a revision, beyond a people's initiative (Lambino)", "modes of Charter change: initiative / Con-con / constituent assembly, each with distinct legal limits", "joint-vs-separate vote as the decisive interpretive question for a Con-ass three-fourths threshold", "plebiscite-integrity: a Yes/No ratification is manipulable absent honest counting (the Marcos precedent)", "rule-of-law gatekeeping: extension is lawful only with concurrence of Congress, Court, Comelec and people"]</t>
        </is>
      </c>
    </row>
    <row r="60" ht="44" customHeight="1">
      <c r="B60" s="17" t="inlineStr">
        <is>
          <t>one_paragraph_summary</t>
        </is>
      </c>
      <c r="C60" s="16" t="inlineStr">
        <is>
          <t>Chapter 6 of 'With Due Respect' (Vol. 1), CJP's July 20, 2008 Inquirer column, asks whether GMA could legally extend her reign beyond June 30, 2010, and answers: yes, but only by revising the Constitution to a parliamentary system, and only if Congress, the Supreme Court, the Comelec and the people all agree. He recaps, as a first-hand participant, the failed 2006 Charter-change bid during his term as Chief Justice: the de Venecia-allied 'people's initiative' (the Sigaw ng Bayan and Ulap, with 6.3 million alleged signatures) was struck down 8-7 in Lambino as 'a deception' and 'a gigantic fraud' -- the signatures gathered 'without first showing to the people the full texts' -- and because shifting to a parliamentary system is a 'revision, not a mere amendment' beyond the reach of an initiative (Carpio for the majority, which included CJP; Puno in dissent). With the initiative foreclosed and a constitutional convention too 'tedious,' he predicts the Palace's vehicle will be a constituent assembly (Con-ass), where the decisive legal question is whether the two houses vote jointly or separately on a three-fourths proposal: a joint count would let GMA's 200-plus House majority prevail ' …[truncated]</t>
        </is>
      </c>
    </row>
    <row r="62">
      <c r="A62" s="22" t="inlineStr">
        <is>
          <t>SPEECH</t>
        </is>
      </c>
    </row>
    <row r="63" ht="44" customHeight="1">
      <c r="B63" s="17" t="inlineStr">
        <is>
          <t>Date</t>
        </is>
      </c>
      <c r="C63" s="16" t="inlineStr">
        <is>
          <t>2021-07-03</t>
        </is>
      </c>
    </row>
    <row r="64" ht="44" customHeight="1">
      <c r="B64" s="17" t="inlineStr">
        <is>
          <t>Title</t>
        </is>
      </c>
      <c r="C64" s="16" t="inlineStr">
        <is>
          <t>Liberty, Prosperity and the Rule of Law for CPAs, CFOs and CEOs</t>
        </is>
      </c>
    </row>
    <row r="65" ht="44" customHeight="1">
      <c r="B65" s="17" t="inlineStr">
        <is>
          <t>Article Code</t>
        </is>
      </c>
      <c r="C65" s="16" t="inlineStr">
        <is>
          <t>SB028</t>
        </is>
      </c>
    </row>
    <row r="66" ht="44" customHeight="1">
      <c r="B66" s="17" t="inlineStr">
        <is>
          <t>Link</t>
        </is>
      </c>
      <c r="C66" s="16" t="inlineStr">
        <is>
          <t>https://cjpanganiban.com/liberty-prosperity-and-the-rule-of-law-for-cpas-cfo-and-ceos1/</t>
        </is>
      </c>
    </row>
    <row r="67" ht="44" customHeight="1">
      <c r="B67" s="17" t="inlineStr">
        <is>
          <t>Keyword/s</t>
        </is>
      </c>
      <c r="C67" s="16" t="inlineStr">
        <is>
          <t>["PICPA", "Marydith Miguel Dolly", "SGV", "Sarbanes-Oxley", "PLDT NYSE", "First Pacific HK Stock Exchange", "audit committee", "transparency accountability truth sustainability", "TATS", "Martin Luther King job income liberty", "Confucius fisherman", "Thomas Edison Rockefeller Ford Morgan Gates Jobs Bezos Biden", "Deng Xiaoping Jack Ma Liu Qiangdong Wang Wenyin", "South Korea North Korea", "Washington SyCip", "Amando Tetangco Jr.", "Edilberto De Jesus", "FLP second decade ESMEL MBA", "AIM legal management", "liberalism versus communism", "entrepreneurship poverty"]</t>
        </is>
      </c>
    </row>
    <row r="68" ht="44" customHeight="1">
      <c r="B68" s="17" t="inlineStr">
        <is>
          <t>primary_topics</t>
        </is>
      </c>
      <c r="C68" s="16" t="inlineStr">
        <is>
          <t>["Induction keynote address to the Philippine Institute of Certified Public Accountants (PICPA), delivered July 3, 2021", "Why the L&amp;P (Liberty and Prosperity) philosophy is directly relevant to CPAs, CFOs and CEOs: transparency, accountability, truth and sustainability (TATS) as the accountant's specific contribution to liberty and prosperity under the rule of law", "The global proof of the entrepreneurship-prosperity link: the US, China, South Korea, and North Korea as natural experiments", "FLP's first decade and upcoming second decade: expanding from law scholarships to MBA fellowships in entrepreneurship and sustainability"]</t>
        </is>
      </c>
    </row>
    <row r="69" ht="44" customHeight="1">
      <c r="B69" s="17" t="inlineStr">
        <is>
          <t>sub_topics</t>
        </is>
      </c>
      <c r="C69" s="16" t="inlineStr">
        <is>
          <t>["CJP as inducting officer and guest speaker despite not being a CPA, commerce, or business administration graduate -- 'just a humble lawyer from a mass-based private university'", "Marydith 'Dolly' Miguel as incoming PICPA National President; CJP's relationship with her across PLDT, MPIC, Meralco, GMA7, where Dolly was SGV partner-in-charge of external audits and CJP chaired Audit Committees", "The Sarbanes-Oxley challenge for PLDT: as the only Philippine company on the NYSE, PLDT must comply with US federal law (SOX), US SEC, New York state and city laws, NYSE rules, First Pacific HK listing rules, HK laws, HKSE rules, plus Philippine laws and PSE rules -- 'a reasonable familiarity of these foreign laws and rules'", "Dolly's expertise in winning intense grilling from Audit Committees while demonstrating P50M+ annual fees as reasonable and fair", "Martin Luther King quote: 'If a man does not have a job or an income, he has neither life nor liberty nor the possibility for the pursuit of happiness' -- used because truth is eternal and not bound by sovereignty, nationality or ideology", "The twin-beacons thesis: 'humans need both justice and jobs; freedom and food; ethics and economi …[truncated]</t>
        </is>
      </c>
    </row>
    <row r="70" ht="44" customHeight="1">
      <c r="B70" s="17" t="inlineStr">
        <is>
          <t>signature_phrases</t>
        </is>
      </c>
      <c r="C70" s="16" t="inlineStr">
        <is>
          <t>["TATS -- Transparency, Accountability, Truth, Sustainability", "If a man does not have a job or an income, he has neither life nor liberty nor the possibility for the pursuit of happiness", "justice and jobs; freedom and food; ethics and economics; peace and development; liberty and prosperity; these twin beacons must always go together; one is useless without the other", "Give a man a fish and you feed him for a day. Teach him to fish and you feed him for a lifetime", "truth is eternal and limitless; truth is not bound by sovereignty, or territory, or ideology, or legality", "the best way to conquer poverty, to create wealth and to share prosperity is to unleash the entrepreneurial genius of people", "not a certified public accountant, not even a commerce or business administration graduate", "she always comes out the big winner", "all the peoples of the world need and deserve liberty and prosperity in equal measure"]</t>
        </is>
      </c>
    </row>
    <row r="71" ht="44" customHeight="1">
      <c r="B71" s="17" t="inlineStr">
        <is>
          <t>entities</t>
        </is>
      </c>
      <c r="C71" s="16" t="inlineStr">
        <is>
          <t>{"people": ["Artemio V. Panganiban (inducting officer and keynote speaker)", "Marydith 'Dolly' Miguel (incoming PICPA National President; SGV partner-in-charge)", "Washington SyCip (SGV founder; original FLP trustee; contributed substantially; deceased)", "Amando M. Tetangco Jr. (replaced SyCip as FLP trustee; multi-awarded BSP governor)", "Dr. Edilberto C. De Jesus (original FLP trustee; former DepEd Secretary, FEU President, AIM President)", "Dr. Jikyeong Kang (AIM President; welcomed FLP's Legal Management MBA proposal)", "Martin Luther King Jr. (cited for 'job or income' quote)", "Confucius (fisherman parable)", "Thomas Edison, Henry Ford, J.P. Morgan, John Rockefeller, Nikola Tesla (US entrepreneurs cited)", "Bill Gates, Steve Jobs, Jeff Bezos (modern US entrepreneurs cited)", "FDR, Eisenhower, Joe Biden (US leaders cited)", "Deng Xiaoping, Xi Jinping (China leaders cited)", "Jack Ma, Liu Qiangdong, Wang Wenyin (Chinese entrepreneurs cited)"], "institutions": ["Philippine Institute of Certified Public Accountants (PICPA)", "SGV and Company (audit firm; Dolly as partner-in-charge)", "PLDT (NYSE-listed; most complex audit subject; First Pacific subsidiary)", "First Pacific Compa …[truncated]</t>
        </is>
      </c>
    </row>
    <row r="72" ht="44" customHeight="1">
      <c r="B72" s="17" t="inlineStr">
        <is>
          <t>stances</t>
        </is>
      </c>
      <c r="C72" s="16" t="inlineStr">
        <is>
          <t>[{"claim": "CPAs, CFOs and CEOs become 'purveyors of liberty and prosperity under the rule of law' whenever their reports and actions embody TATS (Transparency, Accountability, Truth, Sustainability). The four TATS values are not merely professional standards but the mechanism by which the accounting profession actively advances liberty and prosperity for society.", "rhetorical_move": "professional-elevation argument: transforms accountants from number-processors into civic agents of liberty and prosperity through the TATS framework", "confidence": "asserted as CJP's keynote thesis for the PICPA induction"}, {"claim": "'Truth is eternal and limitless; truth is not bound by sovereignty, or territory, or ideology, or legality.' What is true in America is also true in the Philippines, in Asia and in the world: the best way to conquer poverty and create prosperity is to unleash the entrepreneurial genius of people. MLK is quoted not because of his nationality but because of the truth he said simply and profoundly.", "rhetorical_move": "universality-of-truth argument: displaces the American origin of the MLK quote by asserting that truth transcends sovereignty", "confidence": "asserted  …[truncated]</t>
        </is>
      </c>
    </row>
    <row r="73" ht="44" customHeight="1">
      <c r="B73" s="17" t="inlineStr">
        <is>
          <t>notable_anecdotes</t>
        </is>
      </c>
      <c r="C73" s="16" t="inlineStr">
        <is>
          <t>["Dolly Miguel's P50M+ audit fee defense: Dolly's expertise in overcoming 'intense grilling by members of the Audit Committees' while proving that fees 'sometimes in excess of P50 million annually from just one of the companies' are reasonable and fair because of 'hard work, integrity, independence, accuracy and on-time submission.'", "PLDT's multi-jurisdiction audit: as the only Philippine company listed on the NYSE and effectively controlled by Hong Kong-listed First Pacific, PLDT's audit requires compliance with US federal law, US SEC, New York state/city laws, NYSE rules, HK laws, HKSE rules, Philippine laws, SEC, and PSE rules -- 'a reasonable familiarity of these foreign laws and rules' as the baseline.", "Washington SyCip as original FLP trustee: the SGV founder 'did not only join and lend his name to the Foundation. He also contributed a substantial sum.' After his death, Amando Tetangco Jr. agreed to take his place.", "CJP's self-deprecation as a non-CPA: 'I do not know what kind of funny wind struck President Dolly that impelled her to invite me to be your inducting officer and guest speaker today. Unlike all of you, I am not a certified public accountant, not even a comm …[truncated]</t>
        </is>
      </c>
    </row>
    <row r="74" ht="44" customHeight="1">
      <c r="B74" s="17" t="inlineStr">
        <is>
          <t>target_audience</t>
        </is>
      </c>
      <c r="C74" s="16" t="inlineStr">
        <is>
          <t>["PICPA (Philippine Institute of Certified Public Accountants) annual national conference and induction ceremony", "Newly inducted PICPA National President Marydith 'Dolly' Miguel and PICPA officers", "CPAs, CFOs and CEOs gathered at the national conference", "FLP partners and prospective MBA-fellowship applicants"]</t>
        </is>
      </c>
    </row>
    <row r="75" ht="44" customHeight="1">
      <c r="B75" s="17" t="inlineStr">
        <is>
          <t>register_markers</t>
        </is>
      </c>
      <c r="C75" s="16" t="inlineStr">
        <is>
          <t>["keynote induction address register -- a non-CPA speaking to CPAs, opening with self-deprecating disclosure", "TATS framework as a structured four-part analytical scaffold", "universal-truth-from-MLK maneuver: displacing origin to validate content", "Confucius fisherman parable as the compact version of the entrepreneurship-prosperity thesis", "comparative-economics tour: US, China, Korea as three natural experiments", "sequencing-not-substitution argument for diverse national development paths", "FLP-plug embedded in the keynote: first decade summary and second decade ESMEL expansion announcement", "Tagalog bilateral salutation close: 'Mabuhay po kayo at maraming salamat po'"]</t>
        </is>
      </c>
    </row>
    <row r="76" ht="44" customHeight="1">
      <c r="B76" s="17" t="inlineStr">
        <is>
          <t>decision_framework_signals</t>
        </is>
      </c>
      <c r="C76" s="16" t="inlineStr">
        <is>
          <t>["TATS framework as the professional accountability standard that links accounting practice to civic outcomes", "universal-truth premise: truth transcends sovereignty -- MLK, Confucius and the fisherman as transnational evidence for the same principle", "sequencing-not-substitution: different nations can sequence liberty and prosperity in different orders but must ultimately achieve both", "comparative-economics natural experiment methodology (US, China, North/South Korea) as the evidentiary standard", "professional-elevation argument: accountants as purveyors of liberty and prosperity through TATS, not merely processors of numbers"]</t>
        </is>
      </c>
    </row>
    <row r="77" ht="44" customHeight="1">
      <c r="B77" s="17" t="inlineStr">
        <is>
          <t>one_paragraph_summary</t>
        </is>
      </c>
      <c r="C77" s="16" t="inlineStr">
        <is>
          <t>Delivered July 3, 2021 as the keynote and induction address at PICPA's national conference, this speech by CJP -- who opens by humorously questioning why Dolly Miguel invited 'not a CPA, not even a commerce or business administration graduate' to be their inducting officer -- makes the case that CPAs, CFOs and CEOs are directly relevant to the philosophy of liberty and prosperity under the rule of law through the four TATS values: Transparency, Accountability, Truth and Sustainability. He first establishes the relationship with incoming PICPA President Dolly Miguel through their shared PLDT, MPIC, Meralco and GMA7 experience -- she as SGV partner-in-charge of external audits, he as Audit Committee chairman -- noting the multi-jurisdictional complexity of auditing PLDT (NYSE-listed, HK-listed parent, Philippine regulations) and Dolly's consistent performance under intense grilling. His L&amp;P thesis is anchored in MLK ('If a man does not have a job or an income, he has neither life nor liberty nor the possibility for the pursuit of happiness') -- quoted not for his nationality but because 'truth is eternal and limitless; truth is not bound by sovereignty, or territory, or ideology.' He …[truncated]</t>
        </is>
      </c>
    </row>
    <row r="79">
      <c r="A79" s="22" t="inlineStr">
        <is>
          <t>BIOGRAPHY (14 fields — no Link)</t>
        </is>
      </c>
    </row>
    <row r="80" ht="44" customHeight="1">
      <c r="B80" s="17" t="inlineStr">
        <is>
          <t>Date</t>
        </is>
      </c>
      <c r="C80" s="16" t="inlineStr">
        <is>
          <t>1936-01-01</t>
        </is>
      </c>
    </row>
    <row r="81" ht="44" customHeight="1">
      <c r="B81" s="17" t="inlineStr">
        <is>
          <t>Title</t>
        </is>
      </c>
      <c r="C81" s="16" t="inlineStr">
        <is>
          <t>Chapter 1: Early Years</t>
        </is>
      </c>
    </row>
    <row r="82" ht="44" customHeight="1">
      <c r="B82" s="17" t="inlineStr">
        <is>
          <t>Article Code</t>
        </is>
      </c>
      <c r="C82" s="16" t="inlineStr">
        <is>
          <t>GC021</t>
        </is>
      </c>
    </row>
    <row r="83" ht="44" customHeight="1">
      <c r="B83" s="17" t="inlineStr">
        <is>
          <t>Keyword/s</t>
        </is>
      </c>
      <c r="C83" s="16" t="inlineStr">
        <is>
          <t>["Artemio V. Panganiban", "Tondo birth 1936", "Manuel L. Quezon", "Pope Pius XI", "Great Depression", "Rerum Novarum", "Quadragesimo Anno", "Artemio Sr. 'Temi'", "Patricia 'Agang'", "Wenceslao Panganiban", "Honorata Pelayo", "Igmidio Villaseñor 'Apong Midio'", "Barrio Mandili", "Candaba, Pampanga", "tenant farmers", "tiempo muerto", "Pearl Harbor attack", "Gen. Douglas MacArthur", "open city declaration", "Hukbalahap", "Luis Taruc", "Mayor Servando Sagcal", "Candaba Elementary School", "Frankie (uncle and best friend)", "dysentery at age 6", "kapre folktale", "Pampango", "Jeremiah 1:5", "1945 American liberation"]</t>
        </is>
      </c>
    </row>
    <row r="84" ht="44" customHeight="1">
      <c r="B84" s="17" t="inlineStr">
        <is>
          <t>primary_topics</t>
        </is>
      </c>
      <c r="C84" s="16" t="inlineStr">
        <is>
          <t>["Framing-prologue (89-year-old Artemio reflecting on his life) followed by Chapter 1: the birth and early childhood of Artemio V. Panganiban Jr. ('Dayunior') against the backdrop of the Commonwealth presidency of Manuel L. Quezon, the papacy of Pius XI, and the Great Depression -- with the Quezon administration shaped by the Catholic social encyclicals Rerum Novarum (Leo XIII, 1891) and Quadragesimo Anno (Pius XI, 1931), the same documents that would later define CJP's own life motto.", "The Panganiban family origins as tenant farmers in Barrio Mandili, Candaba, Pampanga -- the eldest of eight surviving children Artemio Sr. ('Temi') marrying Patricia 'Agang' Villaseñor (daughter of the *cabeza del barrio* Igmidio 'Apong Midio'), the inherited cycle of *tiempo muerto* (fallow-period poverty), and the eloping move to Manila that began the family's slow rise.", "World War II as the formative trauma of CJP's earliest years: the December 1941 evacuation from Manila to Barrio Mandili after Pearl Harbor and MacArthur's 'open city' declaration; the night-canoe journey separated from his mother for the first time, the *kapre* threats used to silence him, and the loss of voice on arrival; t …[truncated]</t>
        </is>
      </c>
    </row>
    <row r="85" ht="44" customHeight="1">
      <c r="B85" s="17" t="inlineStr">
        <is>
          <t>sub_topics</t>
        </is>
      </c>
      <c r="C85" s="16" t="inlineStr">
        <is>
          <t>["1936 birth in Tondo, Manila -- Quezon presidency, Pius XI papacy, Great Depression as the macro-backdrop", "Rerum Novarum (May 15, 1891) and Quadragesimo Anno as the Catholic social-teaching texts that shaped Quezon's social-justice program and would later define CJP's own 'Liberty and Prosperity' motto", "Panganiban paternal line: Wenceslao Panganiban + Honorata Pelayo, tenant farmers, 16 children with 8 surviving -- Artemio Sr. ('Temi') the eldest", "Villaseñor maternal line: Igmidio 'Apong Midio' (cabeza del barrio in Mandili), widowed early, raised Patricia 'Agang' as homemaker -- her culinary skill in *morcon* and *bulanglang* remembered as testament to her training", "Tiempo muerto poverty cycle -- months of unpaid waiting between planting and harvest, debt to landowners, no surplus for education or medicine", "Pearl Harbor → MacArthur 'open city' → family evacuation to Mandili -- Temi sending the children with his three sisters first, then following with Agang", "First separation from Ima during night canoe journey through San Miguel, Bulacan -- *kapre* threats, lost voice on arrival, the trauma that left Dayunior 'psychologically unresponsive and recessive' for days", "Th …[truncated]</t>
        </is>
      </c>
    </row>
    <row r="86" ht="44" customHeight="1">
      <c r="B86" s="17" t="inlineStr">
        <is>
          <t>signature_phrases</t>
        </is>
      </c>
      <c r="C86" s="16" t="inlineStr">
        <is>
          <t>["Before I formed you in the womb I knew you, before you were born I set you apart", "a confluence of events led to the firm acknowledgement that Divinity had charted his course", "circumstances and encounters, people he met, opportunities as well as failures and losses were alliances of destiny", "the Christian God he raged against had been with him from the moment he took his first breath", "tiempo muerto", "Hukbong Bayan Laban sa Hapon", "Kapre", "psychologically unresponsive and recessive", "a Prime Mover greater than all these"]</t>
        </is>
      </c>
    </row>
    <row r="87" ht="44" customHeight="1">
      <c r="B87" s="17" t="inlineStr">
        <is>
          <t>entities</t>
        </is>
      </c>
      <c r="C87" s="16" t="inlineStr">
        <is>
          <t>{"people": ["Artemio V. Panganiban Jr. ('Dayunior') -- the future CJ as the newborn and child protagonist", "Artemio 'Temi' Panganiban Sr. -- father, eldest of 8 surviving siblings, supporter of the Hukbalahap, friend of Luis Taruc", "Patricia 'Agang' Villaseñor-Panganiban -- mother, daughter of Apong Midio, Pampango-only speaker, gifted home cook", "Wenceslao Panganiban + Honorata Pelayo -- paternal grandparents, tenant farmers from Batangas relocated to Mandili", "Igmidio Villaseñor ('Apong Midio') -- maternal grandfather, cabeza del barrio, stern paterfamilias", "Frankie -- Patricia's half-brother (Apong Midio's son with his second wife), same age as Dayunior, best friend", "Luis Taruc -- Hukbalahap leader (1942-1950), Temi's friend, would later send the FEUCSO president encouraging letters", "Mayor Servando Sagcal -- mayor of Candaba town who offered Temi the secretary post", "Liling Sagcal -- Mayor Sagcal's daughter, Dayunior's first-grade teacher", "Manuel L. Quezon -- Commonwealth president at CJP's birth, social-justice reformer inspired by Catholic encyclicals", "Pope Pius XI -- pontiff at CJP's birth, author of Quadragesimo Anno", "Pope Leo XIII -- author of Rerum Novarum …[truncated]</t>
        </is>
      </c>
    </row>
    <row r="88" ht="44" customHeight="1">
      <c r="B88" s="17" t="inlineStr">
        <is>
          <t>stances</t>
        </is>
      </c>
      <c r="C88" s="16" t="inlineStr">
        <is>
          <t>[{"claim": "CJP's life is best read as Providential orchestration that became clear only in hindsight -- at 89, looking back, the 'confluence of events' that led to a relationship with God includes the humble birth, the lost parent, the newsboy years, and the sidewalks slept on. The Christian God he 'raged against' is read retrospectively as having been with him from his first breath.", "rhetorical_move": "providential reframing of early hardship -- biography's organizing thesis stated in the prologue", "confidence": "high"}, {"claim": "The macro-environment of CJP's birth was already Catholic-social-teaching-shaped: Pope Leo XIII's Rerum Novarum and Pius XI's Quadragesimo Anno animated Quezon's social-justice program, and the same encyclicals would later structure CJP's own life motto 'Liberty and Prosperity.' The world he was born into was already shaped by the documents he would one day live by.", "rhetorical_move": "macro-framing of formation; doctrinal coincidence as biographical foreshadowing", "confidence": "high"}, {"claim": "Tenant-farmer poverty (*tiempo muerto*, debt-cycle, no medicine, no education) is not just background but inheritance -- the family's escape from Mand …[truncated]</t>
        </is>
      </c>
    </row>
    <row r="89" ht="44" customHeight="1">
      <c r="B89" s="17" t="inlineStr">
        <is>
          <t>notable_anecdotes</t>
        </is>
      </c>
      <c r="C89" s="16" t="inlineStr">
        <is>
          <t>["The 89-year-old prologue: Artemio sits in his private memorabilia museum watching stars 'flicker in the night sky,' aware that the accolades 'no longer held his heart' -- the biography's opening tableau and its theological framing", "The lost-voice canoe journey: aunts threatening him with the *kapre*, Dayunior crying until his voice failed, then becoming 'psychologically unresponsive and recessive' on arrival until his parents reunited with him", "The Japanese raid in Mandili -- Temi slapped and kicked, Agang on her knees pleading in Pampango (which the soldiers did not understand but were moved by), the framed photograph of a uniformed man taken as evidence of Hukbalahap ties", "Luis Taruc as Temi's friend -- the Hukbalahap leader (1942-1950) would later send the FEUCSO student-leader letters of encouragement from the boondocks", "Dysentery at six: Agang nursing him through fever, sponging his body, holding him for days and nights -- recovery without medicine 'regarded as a miracle'", "First-grade teacher Liling Sagcal teaching nursery rhymes; Imperial Army enlisted men teaching basic Nihongo at the same school", "1945 liberation: dog fights overhead, the family running to the  …[truncated]</t>
        </is>
      </c>
    </row>
    <row r="90" ht="44" customHeight="1">
      <c r="B90" s="17" t="inlineStr">
        <is>
          <t>target_audience</t>
        </is>
      </c>
      <c r="C90" s="16" t="inlineStr">
        <is>
          <t>["General Philippine readership encountering CJP's biography", "Catholic-formation readers -- the encyclical / Quezon / providential framing speaks to them", "Historians of the WWII Philippine home-front", "FLP / Liberty and Prosperity students tracing the doctrinal lineage of CJP's motto back to Rerum Novarum"]</t>
        </is>
      </c>
    </row>
    <row r="91" ht="44" customHeight="1">
      <c r="B91" s="17" t="inlineStr">
        <is>
          <t>register_markers</t>
        </is>
      </c>
      <c r="C91" s="16" t="inlineStr">
        <is>
          <t>["Prologue's cinematic-museum register -- dusk, stars, memorabilia, 'value of things in the light of eternity'", "Scripture epigraph (Jeremiah 1:5) as thematic frame for childhood", "Macro-historical scene-setting register -- Quezon, Pius XI, Great Depression, encyclicals as first-paragraph context", "Pampango / Tagalog / vernacular markers -- *cabeza del barrio*, *tiempo muerto*, *kapre*, *banca*, *herbolarios*", "Family-tree precision -- exact counts (8 surviving of 16, three sisters, etc.) signaling oral-history texture", "Providential reframing register -- 'only by understanding with faith did he appreciate' -- past trauma read through later belief"]</t>
        </is>
      </c>
    </row>
    <row r="92" ht="44" customHeight="1">
      <c r="B92" s="17" t="inlineStr">
        <is>
          <t>decision_framework_signals</t>
        </is>
      </c>
      <c r="C92" s="16" t="inlineStr">
        <is>
          <t>["Providence-in-retrospect framework: hardship, separation, near-death are evidence of divine charting once read through faith", "Catholic social teaching as inherited doctrinal context (Rerum Novarum, Quadragesimo Anno) -- not yet chosen but already operative", "Family-loyalty premise: parents and siblings as the first moral structure (Temi's sacrifice, Agang's nursing)", "Origin-class consciousness: CJP's later sympathy with the poor traceable to the tenant-farmer inheritance"]</t>
        </is>
      </c>
    </row>
    <row r="93" ht="44" customHeight="1">
      <c r="B93" s="17" t="inlineStr">
        <is>
          <t>one_paragraph_summary</t>
        </is>
      </c>
      <c r="C93" s="16" t="inlineStr">
        <is>
          <t>Chapter 1 opens with an 89-year-old Artemio V. Panganiban in his private museum at dusk, looking back on a remarkable career and concluding that 'Divinity had charted his course' -- the providential thesis that frames the whole biography. The chapter proper then situates his 1936 birth in Tondo against the Commonwealth presidency of Manuel L. Quezon, the papacy of Pius XI, the Great Depression, and the Catholic social encyclicals (Leo XIII's Rerum Novarum, Pius XI's Quadragesimo Anno) that animated Quezon's social-justice program and would later define CJP's own 'Liberty and Prosperity' motto. His paternal line -- tenant farmers Wenceslao Panganiban and Honorata Pelayo in Barrio Mandili, Candaba, Pampanga, the eldest of their eight surviving children named Artemio Sr. ('Temi') -- had moved between Batangas and Pampanga in the agrarian *tiempo muerto* poverty cycle; his maternal line through *cabeza del barrio* Igmidio Villaseñor ('Apong Midio') produced Patricia 'Agang,' the Pampango-only-speaking homemaker who eloped to Manila with Temi. The Pacific War defines the chapter: after Pearl Harbor and MacArthur's 'open city' declaration, the family flees back to Mandili in a night cano …[truncated]</t>
        </is>
      </c>
    </row>
  </sheetData>
  <mergeCells count="67">
    <mergeCell ref="C77:D77"/>
    <mergeCell ref="C34:D34"/>
    <mergeCell ref="C83:D83"/>
    <mergeCell ref="C86:D86"/>
    <mergeCell ref="C92:D92"/>
    <mergeCell ref="C24:D24"/>
    <mergeCell ref="C30:D30"/>
    <mergeCell ref="C68:D68"/>
    <mergeCell ref="C33:D33"/>
    <mergeCell ref="A62:D62"/>
    <mergeCell ref="C42:D42"/>
    <mergeCell ref="C58:D58"/>
    <mergeCell ref="C89:D89"/>
    <mergeCell ref="C74:D74"/>
    <mergeCell ref="C87:D87"/>
    <mergeCell ref="C88:D88"/>
    <mergeCell ref="A28:D28"/>
    <mergeCell ref="C64:D64"/>
    <mergeCell ref="C35:D35"/>
    <mergeCell ref="C73:D73"/>
    <mergeCell ref="C29:D29"/>
    <mergeCell ref="C47:D47"/>
    <mergeCell ref="C54:D54"/>
    <mergeCell ref="C85:D85"/>
    <mergeCell ref="C25:D25"/>
    <mergeCell ref="C63:D63"/>
    <mergeCell ref="C41:D41"/>
    <mergeCell ref="C65:D65"/>
    <mergeCell ref="C55:D55"/>
    <mergeCell ref="C50:D50"/>
    <mergeCell ref="C93:D93"/>
    <mergeCell ref="C75:D75"/>
    <mergeCell ref="C84:D84"/>
    <mergeCell ref="C40:D40"/>
    <mergeCell ref="C31:D31"/>
    <mergeCell ref="C80:D80"/>
    <mergeCell ref="C56:D56"/>
    <mergeCell ref="C59:D59"/>
    <mergeCell ref="C43:D43"/>
    <mergeCell ref="A45:D45"/>
    <mergeCell ref="A79:D79"/>
    <mergeCell ref="C46:D46"/>
    <mergeCell ref="C90:D90"/>
    <mergeCell ref="C60:D60"/>
    <mergeCell ref="C51:D51"/>
    <mergeCell ref="C76:D76"/>
    <mergeCell ref="C71:D71"/>
    <mergeCell ref="C36:D36"/>
    <mergeCell ref="C52:D52"/>
    <mergeCell ref="C70:D70"/>
    <mergeCell ref="C48:D48"/>
    <mergeCell ref="C23:D23"/>
    <mergeCell ref="C39:D39"/>
    <mergeCell ref="C91:D91"/>
    <mergeCell ref="B3:D3"/>
    <mergeCell ref="C32:D32"/>
    <mergeCell ref="C38:D38"/>
    <mergeCell ref="C82:D82"/>
    <mergeCell ref="C72:D72"/>
    <mergeCell ref="C67:D67"/>
    <mergeCell ref="C81:D81"/>
    <mergeCell ref="C57:D57"/>
    <mergeCell ref="C37:D37"/>
    <mergeCell ref="C66:D66"/>
    <mergeCell ref="C53:D53"/>
    <mergeCell ref="C69:D69"/>
    <mergeCell ref="C49:D4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ht="26" customHeight="1">
      <c r="A1" s="1" t="inlineStr">
        <is>
          <t>GENERATED CORPUS FILES — corpus/&lt;type&gt;/&lt;theme&gt;/&lt;DOC_ID&gt;.md + .json</t>
        </is>
      </c>
      <c r="B1" s="2" t="n"/>
    </row>
    <row r="3">
      <c r="A3" s="5" t="inlineStr">
        <is>
          <t>Who writes them</t>
        </is>
      </c>
      <c r="B3" s="6" t="inlineStr">
        <is>
          <t>scripts/generate_corpus_from_xlsx.py — it reads the four PINNED workbooks plus data/text/&lt;ID&gt;.md. Never hand-edit a file under corpus/; edit the source and regenerate.</t>
        </is>
      </c>
    </row>
    <row r="4">
      <c r="A4" s="5" t="inlineStr">
        <is>
          <t>The .md</t>
        </is>
      </c>
      <c r="B4" s="6" t="inlineStr">
        <is>
          <t>Generated YAML front matter, then the title, then the body, then '## Summary' and '## Notable Anecdotes' appended from the enriched row. THE APPENDED SECTIONS ARE INDEXED — that is why a stale one_paragraph_summary reaches the model.</t>
        </is>
      </c>
    </row>
    <row r="5">
      <c r="A5" s="5" t="inlineStr">
        <is>
          <t>The .json</t>
        </is>
      </c>
      <c r="B5" s="6" t="inlineStr">
        <is>
          <t>The full enriched row as structured data, used by the composer for stances, signature phrases and anecdotes. NOT chunked.</t>
        </is>
      </c>
    </row>
    <row r="6">
      <c r="A6" s="5" t="inlineStr">
        <is>
          <t>The date</t>
        </is>
      </c>
      <c r="B6" s="6" t="inlineStr">
        <is>
          <t>Front-matter date is str(Date)[:10] — which is exactly why field 1 must be text, not a datetime.</t>
        </is>
      </c>
    </row>
    <row r="7">
      <c r="A7" s="5" t="inlineStr">
        <is>
          <t>Three sets must match</t>
        </is>
      </c>
      <c r="B7" s="6" t="inlineStr">
        <is>
          <t>Active rows in the pinned sheets == files in data/text/ == documents in corpus/. verify_pin.py fails if they diverge.</t>
        </is>
      </c>
    </row>
    <row r="9" ht="20" customHeight="1">
      <c r="A9" s="3" t="inlineStr">
        <is>
          <t>REAL SAMPLE — corpus/columns/A_liberty_rule_of_law/CA003.md</t>
        </is>
      </c>
      <c r="B9" s="4" t="n"/>
    </row>
    <row r="10" ht="320" customHeight="1">
      <c r="A10" s="17" t="inlineStr">
        <is>
          <t>GENERATED .md</t>
        </is>
      </c>
      <c r="B10" s="16" t="inlineStr">
        <is>
          <t>---
id: "CA003"
format: "C"
type: "column"
theme: "A"
theme_label: "Liberty and Rule of Law"
number: 3
title: "Pivotal issue in Duterte's ICC case"
date: "2025-03-24"
keywords: ["Duterte ICC jurisdiction", "two-year prescriptive period", "Rome Statute Article 127", "Bensouda preliminary examination Feb 8 2018", "Karim Khan", "PTC authorization Sept 15 2021", "Appeals Chamber 3-2 ruling", "subsidiarity / complementarity principle", "OCP independence from ICC", "philippine withdrawal March 17 2019"]
target_audience: ["Duterte's defense counsel and ICC defense teams generally", "ICC judges and registry staff at The Hague", "DFA, DOJ, and OSG counsel handling the PH-ICC relationship", "Senators and House members tracking the ICC engagement", "Civic-minded Filipino readers (pro and anti-Duterte) seeking the legal core of the case", "International law academe and ICC-watchers globally", "Drug-war victims' families and human-rights advocates"]
word_count: 846
has_body: true
source_xlsx: "cjp_columns_curated_normalized.xlsx"
---
# Pivotal issue in Duterte's ICC case
Comments long and short, wide and narrow, partisan and neutral on the indictment for the crime against humanity of mass murder, arrest in the Philippines, airlift via a chartered jet to, and detention in The Netherlands of former president Rodrigo R. Duterte had been essayed, broadcasted, debated, and gossiped ad nauseam.
… [truncated]</t>
        </is>
      </c>
    </row>
    <row r="12" ht="20" customHeight="1">
      <c r="A12" s="3" t="inlineStr">
        <is>
          <t>WHAT HAPPENS NEXT — the index chain</t>
        </is>
      </c>
      <c r="B12" s="4" t="n"/>
    </row>
    <row r="13">
      <c r="A13" s="17" t="inlineStr">
        <is>
          <t>chunk_corpus.py</t>
        </is>
      </c>
      <c r="B13" s="6" t="inlineStr">
        <is>
          <t>corpus/**.md -&gt; corpus/index/chunks.jsonl + chunk_index.json. 200-400 tokens, heading-aware, anecdotes never split.</t>
        </is>
      </c>
    </row>
    <row r="14">
      <c r="A14" s="17" t="inlineStr">
        <is>
          <t>build_corpus_dense.py</t>
        </is>
      </c>
      <c r="B14" s="6" t="inlineStr">
        <is>
          <t>chunks -&gt; data/index/corpus_dense.npy (one 768-d row per chunk) + meta with model, dim, backend, corpus hash.</t>
        </is>
      </c>
    </row>
    <row r="15">
      <c r="A15" s="17" t="inlineStr">
        <is>
          <t>make_runtime_dense_index.py</t>
        </is>
      </c>
      <c r="B15" s="6" t="inlineStr">
        <is>
          <t>-&gt; data/index/pilot_dense.npy, the index the APP actually loads. build_corpus_dense.py does not write it when no prior one exists.</t>
        </is>
      </c>
    </row>
    <row r="16">
      <c r="A16" s="17" t="inlineStr">
        <is>
          <t>build_sparse_index.py</t>
        </is>
      </c>
      <c r="B16" s="6" t="inlineStr">
        <is>
          <t>-&gt; data/index/pilot_sparse.pkl + sparse_phrase_dict.json (BM25 + atomic phrases).</t>
        </is>
      </c>
    </row>
    <row r="17">
      <c r="A17" s="17" t="inlineStr">
        <is>
          <t>build_date_index.py</t>
        </is>
      </c>
      <c r="B17" s="6" t="inlineStr">
        <is>
          <t>-&gt; data/index/date_index.json.</t>
        </is>
      </c>
    </row>
    <row r="18">
      <c r="A18" s="17" t="inlineStr">
        <is>
          <t>merge_tag_topics.py</t>
        </is>
      </c>
      <c r="B18" s="6" t="inlineStr">
        <is>
          <t>tags documents against the existing centroids and runs the orphan census. It MERGES centroids first — run it with CJ_TOPIC_MERGE_COSINE=1.01 unless you intend a merge.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8"/>
  <sheetViews>
    <sheetView workbookViewId="0">
      <pane ySplit="2" topLeftCell="A3" activePane="bottomLeft" state="frozen"/>
      <selection pane="bottomLeft" activeCell="A1" sqref="A1"/>
    </sheetView>
  </sheetViews>
  <sheetFormatPr baseColWidth="8" defaultRowHeight="15"/>
  <cols>
    <col width="15" customWidth="1" min="1" max="1"/>
    <col width="46" customWidth="1" min="2" max="2"/>
    <col width="13" customWidth="1" min="3" max="3"/>
    <col width="13" customWidth="1" min="4" max="4"/>
    <col width="13" customWidth="1" min="5" max="5"/>
    <col width="58" customWidth="1" min="6" max="6"/>
  </cols>
  <sheetData>
    <row r="1" ht="26" customHeight="1">
      <c r="A1" s="1" t="inlineStr">
        <is>
          <t>CORPUS INVENTORY, THEMES AND IDENTIFIERS</t>
        </is>
      </c>
      <c r="B1" s="2" t="n"/>
      <c r="C1" s="2" t="n"/>
      <c r="D1" s="2" t="n"/>
      <c r="E1" s="2" t="n"/>
      <c r="F1" s="2" t="n"/>
    </row>
    <row r="3" ht="28" customHeight="1">
      <c r="A3" s="5" t="inlineStr">
        <is>
          <t>Read this as</t>
        </is>
      </c>
      <c r="B3" s="6" t="inlineStr">
        <is>
          <t>A live inventory, regenerated by scripts/build_project_plan_v3.py from corpus/ and batch-04/intake_manifest.csv. 'Now' is what is pinned and indexed today. '+batch-04' is enriched, QA'd and waiting at CE-4. Re-run the script after any batch and every number here refreshes.</t>
        </is>
      </c>
    </row>
    <row r="5" ht="20" customHeight="1">
      <c r="A5" s="3" t="inlineStr">
        <is>
          <t>THE CORPUS AT A GLANCE</t>
        </is>
      </c>
      <c r="B5" s="4" t="n"/>
      <c r="C5" s="4" t="n"/>
      <c r="D5" s="4" t="n"/>
      <c r="E5" s="4" t="n"/>
      <c r="F5" s="4" t="n"/>
    </row>
    <row r="6">
      <c r="A6" s="12" t="inlineStr">
        <is>
          <t>Format</t>
        </is>
      </c>
      <c r="B6" s="12" t="inlineStr">
        <is>
          <t>What it is</t>
        </is>
      </c>
      <c r="C6" s="12" t="inlineStr">
        <is>
          <t>Now</t>
        </is>
      </c>
      <c r="D6" s="12" t="inlineStr">
        <is>
          <t>+batch-04</t>
        </is>
      </c>
      <c r="E6" s="12" t="inlineStr">
        <is>
          <t>After</t>
        </is>
      </c>
      <c r="F6" s="12" t="inlineStr">
        <is>
          <t>Notes</t>
        </is>
      </c>
    </row>
    <row r="7" ht="30" customHeight="1">
      <c r="A7" s="23" t="inlineStr">
        <is>
          <t>Columns</t>
        </is>
      </c>
      <c r="B7" s="20" t="inlineStr">
        <is>
          <t>Philippine Daily Inquirer opinion columns, weekly</t>
        </is>
      </c>
      <c r="C7" s="20" t="n">
        <v>785</v>
      </c>
      <c r="D7" s="20" t="n">
        <v>18</v>
      </c>
      <c r="E7" s="20" t="n">
        <v>803</v>
      </c>
      <c r="F7" s="20" t="inlineStr">
        <is>
          <t>2011-04-17 to 2026-05-18. Roughly one a week, unbroken.</t>
        </is>
      </c>
    </row>
    <row r="8" ht="30" customHeight="1">
      <c r="A8" s="23" t="inlineStr">
        <is>
          <t>Book chapters</t>
        </is>
      </c>
      <c r="B8" s="20" t="inlineStr">
        <is>
          <t>One chapter = one document, across 12 works</t>
        </is>
      </c>
      <c r="C8" s="20" t="n">
        <v>131</v>
      </c>
      <c r="D8" s="20" t="n">
        <v>168</v>
      </c>
      <c r="E8" s="20" t="n">
        <v>299</v>
      </c>
      <c r="F8" s="20" t="inlineStr">
        <is>
          <t>4 works represented now; 12 after the merge.</t>
        </is>
      </c>
    </row>
    <row r="9" ht="30" customHeight="1">
      <c r="A9" s="23" t="inlineStr">
        <is>
          <t>Speeches</t>
        </is>
      </c>
      <c r="B9" s="20" t="inlineStr">
        <is>
          <t>Keynotes, inductions, lectures, eulogies</t>
        </is>
      </c>
      <c r="C9" s="20" t="n">
        <v>153</v>
      </c>
      <c r="D9" s="20" t="n">
        <v>0</v>
      </c>
      <c r="E9" s="20" t="n">
        <v>153</v>
      </c>
      <c r="F9" s="20" t="inlineStr">
        <is>
          <t>1994-11-23 to 2026-04-27. No new intake in batch-04.</t>
        </is>
      </c>
    </row>
    <row r="10" ht="30" customHeight="1">
      <c r="A10" s="23" t="inlineStr">
        <is>
          <t>Biography</t>
        </is>
      </c>
      <c r="B10" s="20" t="inlineStr">
        <is>
          <t>The authorised life, chapter by chapter</t>
        </is>
      </c>
      <c r="C10" s="20" t="n">
        <v>35</v>
      </c>
      <c r="D10" s="20" t="n">
        <v>0</v>
      </c>
      <c r="E10" s="20" t="n">
        <v>35</v>
      </c>
      <c r="F10" s="20" t="inlineStr">
        <is>
          <t>1936-01-01 to 2024-01-01. No new intake in batch-04.</t>
        </is>
      </c>
    </row>
    <row r="11" ht="30" customHeight="1">
      <c r="A11" s="23" t="inlineStr">
        <is>
          <t>TOTAL</t>
        </is>
      </c>
      <c r="B11" s="20" t="inlineStr">
        <is>
          <t>Active corpus documents</t>
        </is>
      </c>
      <c r="C11" s="20" t="n">
        <v>1104</v>
      </c>
      <c r="D11" s="20" t="n">
        <v>186</v>
      </c>
      <c r="E11" s="20" t="n">
        <v>1290</v>
      </c>
      <c r="F11" s="20" t="inlineStr">
        <is>
          <t>Plus 5 retired IDs whose rows stay pinned with no corpus file.</t>
        </is>
      </c>
    </row>
    <row r="13" ht="28" customHeight="1">
      <c r="A13" s="7" t="inlineStr">
        <is>
          <t>The 1,200-plus figure</t>
        </is>
      </c>
      <c r="B13" s="8" t="inlineStr">
        <is>
          <t>1104 + 186 = 1290 documents after CE-4. That is the number to hold in mind: the knowledge model is being built for roughly thirteen hundred documents, not the seventy-nine the topic taxonomy was written against.</t>
        </is>
      </c>
    </row>
    <row r="15" ht="20" customHeight="1">
      <c r="A15" s="3" t="inlineStr">
        <is>
          <t>THE TWELVE BOOKS — chapter counts and where they sit</t>
        </is>
      </c>
      <c r="B15" s="4" t="n"/>
      <c r="C15" s="4" t="n"/>
      <c r="D15" s="4" t="n"/>
      <c r="E15" s="4" t="n"/>
      <c r="F15" s="4" t="n"/>
    </row>
    <row r="16">
      <c r="A16" s="12" t="inlineStr">
        <is>
          <t>Volumes</t>
        </is>
      </c>
      <c r="B16" s="12" t="inlineStr">
        <is>
          <t>Work</t>
        </is>
      </c>
      <c r="C16" s="12" t="inlineStr">
        <is>
          <t>Now</t>
        </is>
      </c>
      <c r="D16" s="12" t="inlineStr">
        <is>
          <t>+batch-04</t>
        </is>
      </c>
      <c r="E16" s="12" t="inlineStr">
        <is>
          <t>After</t>
        </is>
      </c>
      <c r="F16" s="12" t="inlineStr">
        <is>
          <t>Theme spread after the merge</t>
        </is>
      </c>
    </row>
    <row r="17" ht="26" customHeight="1">
      <c r="A17" s="24" t="inlineStr">
        <is>
          <t>single</t>
        </is>
      </c>
      <c r="B17" s="21" t="inlineStr">
        <is>
          <t>A Centenary of Justice</t>
        </is>
      </c>
      <c r="C17" s="20" t="n">
        <v>22</v>
      </c>
      <c r="D17" s="20" t="n">
        <v>1</v>
      </c>
      <c r="E17" s="20" t="n">
        <v>23</v>
      </c>
      <c r="F17" s="20" t="inlineStr">
        <is>
          <t>A:9 · B:2 · C:3 · D:9</t>
        </is>
      </c>
    </row>
    <row r="18" ht="26" customHeight="1">
      <c r="A18" s="24" t="inlineStr">
        <is>
          <t>single</t>
        </is>
      </c>
      <c r="B18" s="21" t="inlineStr">
        <is>
          <t>Battles in the Supreme Court</t>
        </is>
      </c>
      <c r="C18" s="20" t="n">
        <v>0</v>
      </c>
      <c r="D18" s="20" t="n">
        <v>11</v>
      </c>
      <c r="E18" s="20" t="n">
        <v>11</v>
      </c>
      <c r="F18" s="20" t="inlineStr">
        <is>
          <t>A:6 · B:2 · D:3</t>
        </is>
      </c>
    </row>
    <row r="19" ht="26" customHeight="1">
      <c r="A19" s="24" t="inlineStr">
        <is>
          <t>single</t>
        </is>
      </c>
      <c r="B19" s="21" t="inlineStr">
        <is>
          <t>Judicial Renaissance</t>
        </is>
      </c>
      <c r="C19" s="20" t="n">
        <v>0</v>
      </c>
      <c r="D19" s="20" t="n">
        <v>21</v>
      </c>
      <c r="E19" s="20" t="n">
        <v>21</v>
      </c>
      <c r="F19" s="20" t="inlineStr">
        <is>
          <t>A:4 · B:6 · C:1 · D:10</t>
        </is>
      </c>
    </row>
    <row r="20" ht="26" customHeight="1">
      <c r="A20" s="24" t="inlineStr">
        <is>
          <t>single</t>
        </is>
      </c>
      <c r="B20" s="21" t="inlineStr">
        <is>
          <t>Justice and Faith</t>
        </is>
      </c>
      <c r="C20" s="20" t="n">
        <v>14</v>
      </c>
      <c r="D20" s="20" t="n">
        <v>0</v>
      </c>
      <c r="E20" s="20" t="n">
        <v>14</v>
      </c>
      <c r="F20" s="20" t="inlineStr">
        <is>
          <t>A:1 · B:1 · C:10 · D:2</t>
        </is>
      </c>
    </row>
    <row r="21" ht="26" customHeight="1">
      <c r="A21" s="24" t="inlineStr">
        <is>
          <t>single</t>
        </is>
      </c>
      <c r="B21" s="21" t="inlineStr">
        <is>
          <t>Leadership by Example: The Davide Standard</t>
        </is>
      </c>
      <c r="C21" s="20" t="n">
        <v>0</v>
      </c>
      <c r="D21" s="20" t="n">
        <v>14</v>
      </c>
      <c r="E21" s="20" t="n">
        <v>14</v>
      </c>
      <c r="F21" s="20" t="inlineStr">
        <is>
          <t>A:7 · B:2 · C:1 · D:4</t>
        </is>
      </c>
    </row>
    <row r="22" ht="26" customHeight="1">
      <c r="A22" s="24" t="inlineStr">
        <is>
          <t>single</t>
        </is>
      </c>
      <c r="B22" s="21" t="inlineStr">
        <is>
          <t>Leveling the Playing Field</t>
        </is>
      </c>
      <c r="C22" s="20" t="n">
        <v>0</v>
      </c>
      <c r="D22" s="20" t="n">
        <v>20</v>
      </c>
      <c r="E22" s="20" t="n">
        <v>20</v>
      </c>
      <c r="F22" s="20" t="inlineStr">
        <is>
          <t>A:9 · B:4 · D:3 · E:4</t>
        </is>
      </c>
    </row>
    <row r="23" ht="26" customHeight="1">
      <c r="A23" s="24" t="inlineStr">
        <is>
          <t>single</t>
        </is>
      </c>
      <c r="B23" s="21" t="inlineStr">
        <is>
          <t>Liberty and Prosperity</t>
        </is>
      </c>
      <c r="C23" s="20" t="n">
        <v>0</v>
      </c>
      <c r="D23" s="20" t="n">
        <v>35</v>
      </c>
      <c r="E23" s="20" t="n">
        <v>35</v>
      </c>
      <c r="F23" s="20" t="inlineStr">
        <is>
          <t>A:11 · B:8 · C:3 · D:13</t>
        </is>
      </c>
    </row>
    <row r="24" ht="26" customHeight="1">
      <c r="A24" s="24" t="inlineStr">
        <is>
          <t>single</t>
        </is>
      </c>
      <c r="B24" s="21" t="inlineStr">
        <is>
          <t>Love God, Serve Man</t>
        </is>
      </c>
      <c r="C24" s="20" t="n">
        <v>0</v>
      </c>
      <c r="D24" s="20" t="n">
        <v>22</v>
      </c>
      <c r="E24" s="20" t="n">
        <v>22</v>
      </c>
      <c r="F24" s="20" t="inlineStr">
        <is>
          <t>A:2 · B:4 · C:14 · D:1 · E:1</t>
        </is>
      </c>
    </row>
    <row r="25" ht="26" customHeight="1">
      <c r="A25" s="24" t="inlineStr">
        <is>
          <t>single</t>
        </is>
      </c>
      <c r="B25" s="21" t="inlineStr">
        <is>
          <t>Reforming the Judiciary</t>
        </is>
      </c>
      <c r="C25" s="20" t="n">
        <v>0</v>
      </c>
      <c r="D25" s="20" t="n">
        <v>20</v>
      </c>
      <c r="E25" s="20" t="n">
        <v>20</v>
      </c>
      <c r="F25" s="20" t="inlineStr">
        <is>
          <t>A:7 · B:3 · C:2 · D:8</t>
        </is>
      </c>
    </row>
    <row r="26" ht="26" customHeight="1">
      <c r="A26" s="24" t="inlineStr">
        <is>
          <t>single</t>
        </is>
      </c>
      <c r="B26" s="21" t="inlineStr">
        <is>
          <t>The Bio-Age Dawns on the Judiciary</t>
        </is>
      </c>
      <c r="C26" s="20" t="n">
        <v>20</v>
      </c>
      <c r="D26" s="20" t="n">
        <v>0</v>
      </c>
      <c r="E26" s="20" t="n">
        <v>20</v>
      </c>
      <c r="F26" s="20" t="inlineStr">
        <is>
          <t>A:9 · C:2 · D:5 · E:4</t>
        </is>
      </c>
    </row>
    <row r="27" ht="26" customHeight="1">
      <c r="A27" s="24" t="inlineStr">
        <is>
          <t>single</t>
        </is>
      </c>
      <c r="B27" s="21" t="inlineStr">
        <is>
          <t>Transparency, Unanimity &amp; Diversity</t>
        </is>
      </c>
      <c r="C27" s="20" t="n">
        <v>0</v>
      </c>
      <c r="D27" s="20" t="n">
        <v>24</v>
      </c>
      <c r="E27" s="20" t="n">
        <v>24</v>
      </c>
      <c r="F27" s="20" t="inlineStr">
        <is>
          <t>A:11 · B:7 · C:3 · D:3</t>
        </is>
      </c>
    </row>
    <row r="28" ht="26" customHeight="1">
      <c r="A28" s="24" t="inlineStr">
        <is>
          <t>7 vols</t>
        </is>
      </c>
      <c r="B28" s="21" t="inlineStr">
        <is>
          <t>With Due Respect</t>
        </is>
      </c>
      <c r="C28" s="20" t="n">
        <v>75</v>
      </c>
      <c r="D28" s="20" t="n">
        <v>0</v>
      </c>
      <c r="E28" s="20" t="n">
        <v>75</v>
      </c>
      <c r="F28" s="20" t="inlineStr">
        <is>
          <t>A:31 · B:5 · C:5 · D:9 · E:25</t>
        </is>
      </c>
    </row>
    <row r="29" ht="26" customHeight="1">
      <c r="A29" s="23" t="inlineStr">
        <is>
          <t>18 vols</t>
        </is>
      </c>
      <c r="B29" s="21" t="inlineStr">
        <is>
          <t>TOTAL — 12 works</t>
        </is>
      </c>
      <c r="C29" s="21" t="n">
        <v>131</v>
      </c>
      <c r="D29" s="21" t="n">
        <v>168</v>
      </c>
      <c r="E29" s="21" t="n">
        <v>299</v>
      </c>
      <c r="F29" s="21" t="inlineStr"/>
    </row>
    <row r="31" ht="28" customHeight="1">
      <c r="A31" s="7" t="inlineStr">
        <is>
          <t>Works vs volumes</t>
        </is>
      </c>
      <c r="B31" s="8" t="inlineStr">
        <is>
          <t>With Due Respect is ONE work in SEVEN volumes. Counting works gives 12 — which is the 'all 12 books' target. Counting volumes gives 18. Both are right; say which you mean.</t>
        </is>
      </c>
    </row>
    <row r="32" ht="28" customHeight="1">
      <c r="A32" s="5" t="inlineStr">
        <is>
          <t>What the merge changes</t>
        </is>
      </c>
      <c r="B32" s="6" t="inlineStr">
        <is>
          <t>Books go from 4 works to 12, and from 131 chapters to 299. Eight works enter the corpus for the first time. Every one of those 168 chapters is longer-form than a column — median 2,729 words against roughly 800 — so they chunk differently and carry far more of the doctrinal material.</t>
        </is>
      </c>
    </row>
    <row r="34" ht="20" customHeight="1">
      <c r="A34" s="3" t="inlineStr">
        <is>
          <t>COLUMNS — the weekly run</t>
        </is>
      </c>
      <c r="B34" s="4" t="n"/>
      <c r="C34" s="4" t="n"/>
      <c r="D34" s="4" t="n"/>
      <c r="E34" s="4" t="n"/>
      <c r="F34" s="4" t="n"/>
    </row>
    <row r="35">
      <c r="A35" s="12" t="inlineStr">
        <is>
          <t>Span</t>
        </is>
      </c>
      <c r="B35" s="12" t="inlineStr">
        <is>
          <t>Cadence</t>
        </is>
      </c>
      <c r="C35" s="12" t="inlineStr">
        <is>
          <t>Documents</t>
        </is>
      </c>
      <c r="D35" s="12" t="inlineStr">
        <is>
          <t>Theme A</t>
        </is>
      </c>
      <c r="E35" s="12" t="inlineStr">
        <is>
          <t>Other themes</t>
        </is>
      </c>
      <c r="F35" s="12" t="inlineStr">
        <is>
          <t>Note</t>
        </is>
      </c>
    </row>
    <row r="36" ht="28" customHeight="1">
      <c r="A36" s="24" t="inlineStr">
        <is>
          <t>2011-04 – 2026-05</t>
        </is>
      </c>
      <c r="B36" s="20" t="inlineStr">
        <is>
          <t>weekly</t>
        </is>
      </c>
      <c r="C36" s="20" t="n">
        <v>785</v>
      </c>
      <c r="D36" s="20" t="n">
        <v>514</v>
      </c>
      <c r="E36" s="20" t="inlineStr">
        <is>
          <t>B:18 · C:112 · D:24 · E:117</t>
        </is>
      </c>
      <c r="F36" s="20" t="inlineStr">
        <is>
          <t>Columns are the spine of the corpus and lean heavily to theme A.</t>
        </is>
      </c>
    </row>
    <row r="38">
      <c r="A38" s="12" t="inlineStr">
        <is>
          <t>Year</t>
        </is>
      </c>
      <c r="B38" s="12" t="inlineStr">
        <is>
          <t>Count</t>
        </is>
      </c>
      <c r="C38" s="12" t="inlineStr">
        <is>
          <t>Year</t>
        </is>
      </c>
      <c r="D38" s="12" t="inlineStr">
        <is>
          <t>Count</t>
        </is>
      </c>
      <c r="E38" s="12" t="inlineStr">
        <is>
          <t>Year</t>
        </is>
      </c>
      <c r="F38" s="12" t="inlineStr">
        <is>
          <t>Count</t>
        </is>
      </c>
    </row>
    <row r="39">
      <c r="A39" s="24" t="inlineStr">
        <is>
          <t>2011</t>
        </is>
      </c>
      <c r="B39" s="20" t="n">
        <v>36</v>
      </c>
      <c r="C39" s="20" t="inlineStr">
        <is>
          <t>2012</t>
        </is>
      </c>
      <c r="D39" s="20" t="n">
        <v>52</v>
      </c>
      <c r="E39" s="20" t="inlineStr">
        <is>
          <t>2013</t>
        </is>
      </c>
      <c r="F39" s="20" t="n">
        <v>52</v>
      </c>
    </row>
    <row r="40">
      <c r="A40" s="24" t="inlineStr">
        <is>
          <t>2014</t>
        </is>
      </c>
      <c r="B40" s="20" t="n">
        <v>52</v>
      </c>
      <c r="C40" s="20" t="inlineStr">
        <is>
          <t>2015</t>
        </is>
      </c>
      <c r="D40" s="20" t="n">
        <v>52</v>
      </c>
      <c r="E40" s="20" t="inlineStr">
        <is>
          <t>2016</t>
        </is>
      </c>
      <c r="F40" s="20" t="n">
        <v>52</v>
      </c>
    </row>
    <row r="41">
      <c r="A41" s="24" t="inlineStr">
        <is>
          <t>2017</t>
        </is>
      </c>
      <c r="B41" s="20" t="n">
        <v>53</v>
      </c>
      <c r="C41" s="20" t="inlineStr">
        <is>
          <t>2018</t>
        </is>
      </c>
      <c r="D41" s="20" t="n">
        <v>51</v>
      </c>
      <c r="E41" s="20" t="inlineStr">
        <is>
          <t>2019</t>
        </is>
      </c>
      <c r="F41" s="20" t="n">
        <v>52</v>
      </c>
    </row>
    <row r="42">
      <c r="A42" s="24" t="inlineStr">
        <is>
          <t>2020</t>
        </is>
      </c>
      <c r="B42" s="20" t="n">
        <v>52</v>
      </c>
      <c r="C42" s="20" t="inlineStr">
        <is>
          <t>2021</t>
        </is>
      </c>
      <c r="D42" s="20" t="n">
        <v>52</v>
      </c>
      <c r="E42" s="20" t="inlineStr">
        <is>
          <t>2022</t>
        </is>
      </c>
      <c r="F42" s="20" t="n">
        <v>52</v>
      </c>
    </row>
    <row r="43">
      <c r="A43" s="24" t="inlineStr">
        <is>
          <t>2023</t>
        </is>
      </c>
      <c r="B43" s="20" t="n">
        <v>52</v>
      </c>
      <c r="C43" s="20" t="inlineStr">
        <is>
          <t>2024</t>
        </is>
      </c>
      <c r="D43" s="20" t="n">
        <v>53</v>
      </c>
      <c r="E43" s="20" t="inlineStr">
        <is>
          <t>2025</t>
        </is>
      </c>
      <c r="F43" s="20" t="n">
        <v>52</v>
      </c>
    </row>
    <row r="44">
      <c r="A44" s="24" t="inlineStr">
        <is>
          <t>2026</t>
        </is>
      </c>
      <c r="B44" s="20" t="n">
        <v>20</v>
      </c>
      <c r="C44" s="20" t="inlineStr"/>
      <c r="D44" s="20" t="inlineStr"/>
      <c r="E44" s="20" t="inlineStr"/>
      <c r="F44" s="20" t="inlineStr"/>
    </row>
    <row r="46" ht="28" customHeight="1">
      <c r="A46" s="14" t="inlineStr">
        <is>
          <t>THE GAP</t>
        </is>
      </c>
      <c r="B46" s="6" t="inlineStr">
        <is>
          <t>The run begins 17 Apr 2011, but the Inquirer column actually began 11 Feb 2007 — his first, reprinted as BA031 'Visionary Leadership by Example'. Roughly 222 columns from Feb 2007 to Apr 2011 have never been sourced. 803 + ~222 is about 1,025, which is where 'almost a thousand columns' comes from. A batch-05 sourcing job, not a pipeline job.</t>
        </is>
      </c>
    </row>
    <row r="48" ht="20" customHeight="1">
      <c r="A48" s="3" t="inlineStr">
        <is>
          <t>SPEECHES</t>
        </is>
      </c>
      <c r="B48" s="4" t="n"/>
      <c r="C48" s="4" t="n"/>
      <c r="D48" s="4" t="n"/>
      <c r="E48" s="4" t="n"/>
      <c r="F48" s="4" t="n"/>
    </row>
    <row r="49">
      <c r="A49" s="12" t="inlineStr">
        <is>
          <t>Span</t>
        </is>
      </c>
      <c r="B49" s="12" t="inlineStr">
        <is>
          <t>Documents</t>
        </is>
      </c>
      <c r="C49" s="12" t="inlineStr">
        <is>
          <t>Theme C</t>
        </is>
      </c>
      <c r="D49" s="12" t="inlineStr">
        <is>
          <t>Theme A</t>
        </is>
      </c>
      <c r="E49" s="12" t="inlineStr">
        <is>
          <t>Other</t>
        </is>
      </c>
      <c r="F49" s="12" t="inlineStr">
        <is>
          <t>Note</t>
        </is>
      </c>
    </row>
    <row r="50" ht="28" customHeight="1">
      <c r="A50" s="24" t="inlineStr">
        <is>
          <t>1994-11-23 – 2026-04-27</t>
        </is>
      </c>
      <c r="B50" s="20" t="n">
        <v>153</v>
      </c>
      <c r="C50" s="20" t="n">
        <v>58</v>
      </c>
      <c r="D50" s="20" t="n">
        <v>43</v>
      </c>
      <c r="E50" s="20" t="inlineStr">
        <is>
          <t>B:21 · D:23 · E:8</t>
        </is>
      </c>
      <c r="F50" s="20" t="inlineStr">
        <is>
          <t>Thirty-two years of platform speaking — inductions, keynotes, lectures, eulogies.</t>
        </is>
      </c>
    </row>
    <row r="51" ht="22" customHeight="1">
      <c r="A51" s="23" t="inlineStr">
        <is>
          <t>By decade</t>
        </is>
      </c>
      <c r="B51" s="20" t="inlineStr">
        <is>
          <t>1990s 3</t>
        </is>
      </c>
      <c r="C51" s="20" t="inlineStr">
        <is>
          <t>2000s 45</t>
        </is>
      </c>
      <c r="D51" s="20" t="inlineStr">
        <is>
          <t>2010s 69</t>
        </is>
      </c>
      <c r="E51" s="20" t="inlineStr">
        <is>
          <t>2020s 36</t>
        </is>
      </c>
      <c r="F51" s="20" t="inlineStr"/>
    </row>
    <row r="53" ht="20" customHeight="1">
      <c r="A53" s="3" t="inlineStr">
        <is>
          <t>BIOGRAPHY — all 35 chapters, in ID order</t>
        </is>
      </c>
      <c r="B53" s="4" t="n"/>
      <c r="C53" s="4" t="n"/>
      <c r="D53" s="4" t="n"/>
      <c r="E53" s="4" t="n"/>
      <c r="F53" s="4" t="n"/>
    </row>
    <row r="54">
      <c r="A54" s="12" t="inlineStr">
        <is>
          <t>Doc ID</t>
        </is>
      </c>
      <c r="B54" s="12" t="inlineStr">
        <is>
          <t>Chapter title</t>
        </is>
      </c>
      <c r="C54" s="12" t="inlineStr">
        <is>
          <t>Date</t>
        </is>
      </c>
      <c r="D54" s="12" t="inlineStr">
        <is>
          <t>Theme</t>
        </is>
      </c>
      <c r="E54" s="12" t="inlineStr"/>
      <c r="F54" s="12" t="inlineStr">
        <is>
          <t>Source</t>
        </is>
      </c>
    </row>
    <row r="55" ht="18" customHeight="1">
      <c r="A55" s="25" t="inlineStr">
        <is>
          <t>GC001</t>
        </is>
      </c>
      <c r="B55" s="20" t="inlineStr">
        <is>
          <t>PROLOGUE: The Republic at Dawn</t>
        </is>
      </c>
      <c r="C55" s="20" t="inlineStr">
        <is>
          <t>2001-01-20</t>
        </is>
      </c>
      <c r="D55" s="20" t="inlineStr">
        <is>
          <t>C</t>
        </is>
      </c>
      <c r="E55" s="20" t="inlineStr"/>
      <c r="F55" s="20" t="inlineStr">
        <is>
          <t>cjp_biography_curated_normalized.xlsx (14 fields — no Link)</t>
        </is>
      </c>
    </row>
    <row r="56" ht="18" customHeight="1">
      <c r="A56" s="25" t="inlineStr">
        <is>
          <t>GC002</t>
        </is>
      </c>
      <c r="B56" s="20" t="inlineStr">
        <is>
          <t>The Boy Who Slept on Pavement</t>
        </is>
      </c>
      <c r="C56" s="20" t="inlineStr">
        <is>
          <t>1947-01-01</t>
        </is>
      </c>
      <c r="D56" s="20" t="inlineStr">
        <is>
          <t>C</t>
        </is>
      </c>
      <c r="E56" s="20" t="inlineStr"/>
      <c r="F56" s="20" t="inlineStr">
        <is>
          <t>cjp_biography_curated_normalized.xlsx (14 fields — no Link)</t>
        </is>
      </c>
    </row>
    <row r="57" ht="18" customHeight="1">
      <c r="A57" s="25" t="inlineStr">
        <is>
          <t>GC003</t>
        </is>
      </c>
      <c r="B57" s="20" t="inlineStr">
        <is>
          <t>FEU and the Construction of Ambition</t>
        </is>
      </c>
      <c r="C57" s="20" t="inlineStr">
        <is>
          <t>1955-01-01</t>
        </is>
      </c>
      <c r="D57" s="20" t="inlineStr">
        <is>
          <t>C</t>
        </is>
      </c>
      <c r="E57" s="20" t="inlineStr"/>
      <c r="F57" s="20" t="inlineStr">
        <is>
          <t>cjp_biography_curated_normalized.xlsx (14 fields — no Link)</t>
        </is>
      </c>
    </row>
    <row r="58" ht="18" customHeight="1">
      <c r="A58" s="25" t="inlineStr">
        <is>
          <t>GC004</t>
        </is>
      </c>
      <c r="B58" s="20" t="inlineStr">
        <is>
          <t>The Bar Exam and the Discipline of Pain</t>
        </is>
      </c>
      <c r="C58" s="20" t="inlineStr">
        <is>
          <t>1960-01-01</t>
        </is>
      </c>
      <c r="D58" s="20" t="inlineStr">
        <is>
          <t>C</t>
        </is>
      </c>
      <c r="E58" s="20" t="inlineStr"/>
      <c r="F58" s="20" t="inlineStr">
        <is>
          <t>cjp_biography_curated_normalized.xlsx (14 fields — no Link)</t>
        </is>
      </c>
    </row>
    <row r="59" ht="18" customHeight="1">
      <c r="A59" s="25" t="inlineStr">
        <is>
          <t>GC005</t>
        </is>
      </c>
      <c r="B59" s="20" t="inlineStr">
        <is>
          <t>The Mentor and the Moral Spine</t>
        </is>
      </c>
      <c r="C59" s="20" t="inlineStr">
        <is>
          <t>1961-01-01</t>
        </is>
      </c>
      <c r="D59" s="20" t="inlineStr">
        <is>
          <t>C</t>
        </is>
      </c>
      <c r="E59" s="20" t="inlineStr"/>
      <c r="F59" s="20" t="inlineStr">
        <is>
          <t>cjp_biography_curated_normalized.xlsx (14 fields — no Link)</t>
        </is>
      </c>
    </row>
    <row r="60" ht="18" customHeight="1">
      <c r="A60" s="25" t="inlineStr">
        <is>
          <t>GC006</t>
        </is>
      </c>
      <c r="B60" s="20" t="inlineStr">
        <is>
          <t>Independence by Design</t>
        </is>
      </c>
      <c r="C60" s="20" t="inlineStr">
        <is>
          <t>1963-01-01</t>
        </is>
      </c>
      <c r="D60" s="20" t="inlineStr">
        <is>
          <t>C</t>
        </is>
      </c>
      <c r="E60" s="20" t="inlineStr"/>
      <c r="F60" s="20" t="inlineStr">
        <is>
          <t>cjp_biography_curated_normalized.xlsx (14 fields — no Link)</t>
        </is>
      </c>
    </row>
    <row r="61" ht="18" customHeight="1">
      <c r="A61" s="25" t="inlineStr">
        <is>
          <t>GC007</t>
        </is>
      </c>
      <c r="B61" s="20" t="inlineStr">
        <is>
          <t>Faith Finds Its Voice</t>
        </is>
      </c>
      <c r="C61" s="20" t="inlineStr">
        <is>
          <t>1985-01-01</t>
        </is>
      </c>
      <c r="D61" s="20" t="inlineStr">
        <is>
          <t>C</t>
        </is>
      </c>
      <c r="E61" s="20" t="inlineStr"/>
      <c r="F61" s="20" t="inlineStr">
        <is>
          <t>cjp_biography_curated_normalized.xlsx (14 fields — no Link)</t>
        </is>
      </c>
    </row>
    <row r="62" ht="18" customHeight="1">
      <c r="A62" s="25" t="inlineStr">
        <is>
          <t>GC008</t>
        </is>
      </c>
      <c r="B62" s="20" t="inlineStr">
        <is>
          <t>Rotary, Earthquake, and the Test of Leadership</t>
        </is>
      </c>
      <c r="C62" s="20" t="inlineStr">
        <is>
          <t>1990-01-01</t>
        </is>
      </c>
      <c r="D62" s="20" t="inlineStr">
        <is>
          <t>C</t>
        </is>
      </c>
      <c r="E62" s="20" t="inlineStr"/>
      <c r="F62" s="20" t="inlineStr">
        <is>
          <t>cjp_biography_curated_normalized.xlsx (14 fields — no Link)</t>
        </is>
      </c>
    </row>
    <row r="63" ht="18" customHeight="1">
      <c r="A63" s="25" t="inlineStr">
        <is>
          <t>GC009</t>
        </is>
      </c>
      <c r="B63" s="20" t="inlineStr">
        <is>
          <t>LOVE GOD. SERVE MAN.</t>
        </is>
      </c>
      <c r="C63" s="20" t="inlineStr">
        <is>
          <t>1990-07-01</t>
        </is>
      </c>
      <c r="D63" s="20" t="inlineStr">
        <is>
          <t>C</t>
        </is>
      </c>
      <c r="E63" s="20" t="inlineStr"/>
      <c r="F63" s="20" t="inlineStr">
        <is>
          <t>cjp_biography_curated_normalized.xlsx (14 fields — no Link)</t>
        </is>
      </c>
    </row>
    <row r="64" ht="18" customHeight="1">
      <c r="A64" s="25" t="inlineStr">
        <is>
          <t>GC010</t>
        </is>
      </c>
      <c r="B64" s="20" t="inlineStr">
        <is>
          <t>The Reckoning of a Year -- and the Quiet Accumulation of Trust</t>
        </is>
      </c>
      <c r="C64" s="20" t="inlineStr">
        <is>
          <t>1991-06-01</t>
        </is>
      </c>
      <c r="D64" s="20" t="inlineStr">
        <is>
          <t>C</t>
        </is>
      </c>
      <c r="E64" s="20" t="inlineStr"/>
      <c r="F64" s="20" t="inlineStr">
        <is>
          <t>cjp_biography_curated_normalized.xlsx (14 fields — no Link)</t>
        </is>
      </c>
    </row>
    <row r="65" ht="18" customHeight="1">
      <c r="A65" s="25" t="inlineStr">
        <is>
          <t>GC011</t>
        </is>
      </c>
      <c r="B65" s="20" t="inlineStr">
        <is>
          <t>From Civic Leadership to National Visibility</t>
        </is>
      </c>
      <c r="C65" s="20" t="inlineStr">
        <is>
          <t>1990-01-01</t>
        </is>
      </c>
      <c r="D65" s="20" t="inlineStr">
        <is>
          <t>C</t>
        </is>
      </c>
      <c r="E65" s="20" t="inlineStr"/>
      <c r="F65" s="20" t="inlineStr">
        <is>
          <t>cjp_biography_curated_normalized.xlsx (14 fields — no Link)</t>
        </is>
      </c>
    </row>
    <row r="66" ht="18" customHeight="1">
      <c r="A66" s="25" t="inlineStr">
        <is>
          <t>GC012</t>
        </is>
      </c>
      <c r="B66" s="20" t="inlineStr">
        <is>
          <t>The Call from Malacañang -- and the First Refusal</t>
        </is>
      </c>
      <c r="C66" s="20" t="inlineStr">
        <is>
          <t>1992-01-01</t>
        </is>
      </c>
      <c r="D66" s="20" t="inlineStr">
        <is>
          <t>C</t>
        </is>
      </c>
      <c r="E66" s="20" t="inlineStr"/>
      <c r="F66" s="20" t="inlineStr">
        <is>
          <t>cjp_biography_curated_normalized.xlsx (14 fields — no Link)</t>
        </is>
      </c>
    </row>
    <row r="67" ht="18" customHeight="1">
      <c r="A67" s="25" t="inlineStr">
        <is>
          <t>GC013</t>
        </is>
      </c>
      <c r="B67" s="20" t="inlineStr">
        <is>
          <t>Seven Rejections</t>
        </is>
      </c>
      <c r="C67" s="20" t="inlineStr">
        <is>
          <t>1992-01-01</t>
        </is>
      </c>
      <c r="D67" s="20" t="inlineStr">
        <is>
          <t>C</t>
        </is>
      </c>
      <c r="E67" s="20" t="inlineStr"/>
      <c r="F67" s="20" t="inlineStr">
        <is>
          <t>cjp_biography_curated_normalized.xlsx (14 fields — no Link)</t>
        </is>
      </c>
    </row>
    <row r="68" ht="18" customHeight="1">
      <c r="A68" s="25" t="inlineStr">
        <is>
          <t>GC014</t>
        </is>
      </c>
      <c r="B68" s="20" t="inlineStr">
        <is>
          <t>Ask. Seek. Knock.</t>
        </is>
      </c>
      <c r="C68" s="20" t="inlineStr">
        <is>
          <t>1995-07-01</t>
        </is>
      </c>
      <c r="D68" s="20" t="inlineStr">
        <is>
          <t>C</t>
        </is>
      </c>
      <c r="E68" s="20" t="inlineStr"/>
      <c r="F68" s="20" t="inlineStr">
        <is>
          <t>cjp_biography_curated_normalized.xlsx (14 fields — no Link)</t>
        </is>
      </c>
    </row>
    <row r="69" ht="18" customHeight="1">
      <c r="A69" s="25" t="inlineStr">
        <is>
          <t>GC015</t>
        </is>
      </c>
      <c r="B69" s="20" t="inlineStr">
        <is>
          <t>The Bench</t>
        </is>
      </c>
      <c r="C69" s="20" t="inlineStr">
        <is>
          <t>1995-10-01</t>
        </is>
      </c>
      <c r="D69" s="20" t="inlineStr">
        <is>
          <t>C</t>
        </is>
      </c>
      <c r="E69" s="20" t="inlineStr"/>
      <c r="F69" s="20" t="inlineStr">
        <is>
          <t>cjp_biography_curated_normalized.xlsx (14 fields — no Link)</t>
        </is>
      </c>
    </row>
    <row r="70" ht="18" customHeight="1">
      <c r="A70" s="25" t="inlineStr">
        <is>
          <t>GC016</t>
        </is>
      </c>
      <c r="B70" s="20" t="inlineStr">
        <is>
          <t>EDSA, Judgment at Dawn</t>
        </is>
      </c>
      <c r="C70" s="20" t="inlineStr">
        <is>
          <t>2001-01-20</t>
        </is>
      </c>
      <c r="D70" s="20" t="inlineStr">
        <is>
          <t>C</t>
        </is>
      </c>
      <c r="E70" s="20" t="inlineStr"/>
      <c r="F70" s="20" t="inlineStr">
        <is>
          <t>cjp_biography_curated_normalized.xlsx (14 fields — no Link)</t>
        </is>
      </c>
    </row>
    <row r="71" ht="18" customHeight="1">
      <c r="A71" s="25" t="inlineStr">
        <is>
          <t>GC017</t>
        </is>
      </c>
      <c r="B71" s="20" t="inlineStr">
        <is>
          <t>Chief Justice</t>
        </is>
      </c>
      <c r="C71" s="20" t="inlineStr">
        <is>
          <t>2005-12-20</t>
        </is>
      </c>
      <c r="D71" s="20" t="inlineStr">
        <is>
          <t>C</t>
        </is>
      </c>
      <c r="E71" s="20" t="inlineStr"/>
      <c r="F71" s="20" t="inlineStr">
        <is>
          <t>cjp_biography_curated_normalized.xlsx (14 fields — no Link)</t>
        </is>
      </c>
    </row>
    <row r="72" ht="18" customHeight="1">
      <c r="A72" s="25" t="inlineStr">
        <is>
          <t>GC018</t>
        </is>
      </c>
      <c r="B72" s="20" t="inlineStr">
        <is>
          <t>Retirement Without Retreat</t>
        </is>
      </c>
      <c r="C72" s="20" t="inlineStr">
        <is>
          <t>2006-12-01</t>
        </is>
      </c>
      <c r="D72" s="20" t="inlineStr">
        <is>
          <t>C</t>
        </is>
      </c>
      <c r="E72" s="20" t="inlineStr"/>
      <c r="F72" s="20" t="inlineStr">
        <is>
          <t>cjp_biography_curated_normalized.xlsx (14 fields — no Link)</t>
        </is>
      </c>
    </row>
    <row r="73" ht="18" customHeight="1">
      <c r="A73" s="25" t="inlineStr">
        <is>
          <t>GC019</t>
        </is>
      </c>
      <c r="B73" s="20" t="inlineStr">
        <is>
          <t>The Elder Statesman</t>
        </is>
      </c>
      <c r="C73" s="20" t="inlineStr">
        <is>
          <t>2007-01-01</t>
        </is>
      </c>
      <c r="D73" s="20" t="inlineStr">
        <is>
          <t>C</t>
        </is>
      </c>
      <c r="E73" s="20" t="inlineStr"/>
      <c r="F73" s="20" t="inlineStr">
        <is>
          <t>cjp_biography_curated_normalized.xlsx (14 fields — no Link)</t>
        </is>
      </c>
    </row>
    <row r="74" ht="18" customHeight="1">
      <c r="A74" s="25" t="inlineStr">
        <is>
          <t>GC020</t>
        </is>
      </c>
      <c r="B74" s="20" t="inlineStr">
        <is>
          <t>EPILOGUE: The Judgment That Endures</t>
        </is>
      </c>
      <c r="C74" s="20" t="inlineStr">
        <is>
          <t>2007-01-01</t>
        </is>
      </c>
      <c r="D74" s="20" t="inlineStr">
        <is>
          <t>C</t>
        </is>
      </c>
      <c r="E74" s="20" t="inlineStr"/>
      <c r="F74" s="20" t="inlineStr">
        <is>
          <t>cjp_biography_curated_normalized.xlsx (14 fields — no Link)</t>
        </is>
      </c>
    </row>
    <row r="75" ht="18" customHeight="1">
      <c r="A75" s="25" t="inlineStr">
        <is>
          <t>GC021</t>
        </is>
      </c>
      <c r="B75" s="20" t="inlineStr">
        <is>
          <t>Chapter 1: Early Years</t>
        </is>
      </c>
      <c r="C75" s="20" t="inlineStr">
        <is>
          <t>1936-01-01</t>
        </is>
      </c>
      <c r="D75" s="20" t="inlineStr">
        <is>
          <t>C</t>
        </is>
      </c>
      <c r="E75" s="20" t="inlineStr"/>
      <c r="F75" s="20" t="inlineStr">
        <is>
          <t>cjp_biography_curated_normalized.xlsx (14 fields — no Link)</t>
        </is>
      </c>
    </row>
    <row r="76" ht="18" customHeight="1">
      <c r="A76" s="25" t="inlineStr">
        <is>
          <t>GC022</t>
        </is>
      </c>
      <c r="B76" s="20" t="inlineStr">
        <is>
          <t>Chapter 2: Return to the City - Boyhood Years</t>
        </is>
      </c>
      <c r="C76" s="20" t="inlineStr">
        <is>
          <t>1945-01-01</t>
        </is>
      </c>
      <c r="D76" s="20" t="inlineStr">
        <is>
          <t>C</t>
        </is>
      </c>
      <c r="E76" s="20" t="inlineStr"/>
      <c r="F76" s="20" t="inlineStr">
        <is>
          <t>cjp_biography_curated_normalized.xlsx (14 fields — no Link)</t>
        </is>
      </c>
    </row>
    <row r="77" ht="18" customHeight="1">
      <c r="A77" s="25" t="inlineStr">
        <is>
          <t>GC023</t>
        </is>
      </c>
      <c r="B77" s="20" t="inlineStr">
        <is>
          <t>Chapter 3: The Rise of the Student Leader</t>
        </is>
      </c>
      <c r="C77" s="20" t="inlineStr">
        <is>
          <t>1955-01-01</t>
        </is>
      </c>
      <c r="D77" s="20" t="inlineStr">
        <is>
          <t>C</t>
        </is>
      </c>
      <c r="E77" s="20" t="inlineStr"/>
      <c r="F77" s="20" t="inlineStr">
        <is>
          <t>cjp_biography_curated_normalized.xlsx (14 fields — no Link)</t>
        </is>
      </c>
    </row>
    <row r="78" ht="18" customHeight="1">
      <c r="A78" s="25" t="inlineStr">
        <is>
          <t>GC024</t>
        </is>
      </c>
      <c r="B78" s="20" t="inlineStr">
        <is>
          <t>Chapter 4: The Law Student</t>
        </is>
      </c>
      <c r="C78" s="20" t="inlineStr">
        <is>
          <t>1956-01-01</t>
        </is>
      </c>
      <c r="D78" s="20" t="inlineStr">
        <is>
          <t>C</t>
        </is>
      </c>
      <c r="E78" s="20" t="inlineStr"/>
      <c r="F78" s="20" t="inlineStr">
        <is>
          <t>cjp_biography_curated_normalized.xlsx (14 fields — no Link)</t>
        </is>
      </c>
    </row>
    <row r="79" ht="18" customHeight="1">
      <c r="A79" s="25" t="inlineStr">
        <is>
          <t>GC025</t>
        </is>
      </c>
      <c r="B79" s="20" t="inlineStr">
        <is>
          <t>Chapter 5: Keeper of Dreams</t>
        </is>
      </c>
      <c r="C79" s="20" t="inlineStr">
        <is>
          <t>1958-01-01</t>
        </is>
      </c>
      <c r="D79" s="20" t="inlineStr">
        <is>
          <t>C</t>
        </is>
      </c>
      <c r="E79" s="20" t="inlineStr"/>
      <c r="F79" s="20" t="inlineStr">
        <is>
          <t>cjp_biography_curated_normalized.xlsx (14 fields — no Link)</t>
        </is>
      </c>
    </row>
    <row r="80" ht="18" customHeight="1">
      <c r="A80" s="25" t="inlineStr">
        <is>
          <t>GC026</t>
        </is>
      </c>
      <c r="B80" s="20" t="inlineStr">
        <is>
          <t>Chapter 6: The Lawyer</t>
        </is>
      </c>
      <c r="C80" s="20" t="inlineStr">
        <is>
          <t>1961-01-01</t>
        </is>
      </c>
      <c r="D80" s="20" t="inlineStr">
        <is>
          <t>C</t>
        </is>
      </c>
      <c r="E80" s="20" t="inlineStr"/>
      <c r="F80" s="20" t="inlineStr">
        <is>
          <t>cjp_biography_curated_normalized.xlsx (14 fields — no Link)</t>
        </is>
      </c>
    </row>
    <row r="81" ht="18" customHeight="1">
      <c r="A81" s="25" t="inlineStr">
        <is>
          <t>GC027</t>
        </is>
      </c>
      <c r="B81" s="20" t="inlineStr">
        <is>
          <t>Chapter 7: Lawyer in the Marketplace</t>
        </is>
      </c>
      <c r="C81" s="20" t="inlineStr">
        <is>
          <t>1963-01-01</t>
        </is>
      </c>
      <c r="D81" s="20" t="inlineStr">
        <is>
          <t>C</t>
        </is>
      </c>
      <c r="E81" s="20" t="inlineStr"/>
      <c r="F81" s="20" t="inlineStr">
        <is>
          <t>cjp_biography_curated_normalized.xlsx (14 fields — no Link)</t>
        </is>
      </c>
    </row>
    <row r="82" ht="18" customHeight="1">
      <c r="A82" s="25" t="inlineStr">
        <is>
          <t>GC028</t>
        </is>
      </c>
      <c r="B82" s="20" t="inlineStr">
        <is>
          <t>Chapter 8: Turning Point</t>
        </is>
      </c>
      <c r="C82" s="20" t="inlineStr">
        <is>
          <t>1986-01-01</t>
        </is>
      </c>
      <c r="D82" s="20" t="inlineStr">
        <is>
          <t>C</t>
        </is>
      </c>
      <c r="E82" s="20" t="inlineStr"/>
      <c r="F82" s="20" t="inlineStr">
        <is>
          <t>cjp_biography_curated_normalized.xlsx (14 fields — no Link)</t>
        </is>
      </c>
    </row>
    <row r="83" ht="18" customHeight="1">
      <c r="A83" s="25" t="inlineStr">
        <is>
          <t>GC029</t>
        </is>
      </c>
      <c r="B83" s="20" t="inlineStr">
        <is>
          <t>Chapter 9: Among Bishops, Cardinals and a Pope</t>
        </is>
      </c>
      <c r="C83" s="20" t="inlineStr">
        <is>
          <t>1989-01-01</t>
        </is>
      </c>
      <c r="D83" s="20" t="inlineStr">
        <is>
          <t>C</t>
        </is>
      </c>
      <c r="E83" s="20" t="inlineStr"/>
      <c r="F83" s="20" t="inlineStr">
        <is>
          <t>cjp_biography_curated_normalized.xlsx (14 fields — no Link)</t>
        </is>
      </c>
    </row>
    <row r="84" ht="18" customHeight="1">
      <c r="A84" s="25" t="inlineStr">
        <is>
          <t>GC030</t>
        </is>
      </c>
      <c r="B84" s="20" t="inlineStr">
        <is>
          <t>Chapter 10: Appointment to the Supreme Court</t>
        </is>
      </c>
      <c r="C84" s="20" t="inlineStr">
        <is>
          <t>1987-01-01</t>
        </is>
      </c>
      <c r="D84" s="20" t="inlineStr">
        <is>
          <t>C</t>
        </is>
      </c>
      <c r="E84" s="20" t="inlineStr"/>
      <c r="F84" s="20" t="inlineStr">
        <is>
          <t>cjp_biography_curated_normalized.xlsx (14 fields — no Link)</t>
        </is>
      </c>
    </row>
    <row r="85" ht="18" customHeight="1">
      <c r="A85" s="25" t="inlineStr">
        <is>
          <t>GC031</t>
        </is>
      </c>
      <c r="B85" s="20" t="inlineStr">
        <is>
          <t>Chapter 11: Associate Justice</t>
        </is>
      </c>
      <c r="C85" s="20" t="inlineStr">
        <is>
          <t>1995-01-01</t>
        </is>
      </c>
      <c r="D85" s="20" t="inlineStr">
        <is>
          <t>C</t>
        </is>
      </c>
      <c r="E85" s="20" t="inlineStr"/>
      <c r="F85" s="20" t="inlineStr">
        <is>
          <t>cjp_biography_curated_normalized.xlsx (14 fields — no Link)</t>
        </is>
      </c>
    </row>
    <row r="86" ht="18" customHeight="1">
      <c r="A86" s="25" t="inlineStr">
        <is>
          <t>GC032</t>
        </is>
      </c>
      <c r="B86" s="20" t="inlineStr">
        <is>
          <t>Chapter 12: Guided by the Word</t>
        </is>
      </c>
      <c r="C86" s="20" t="inlineStr">
        <is>
          <t>2001-01-01</t>
        </is>
      </c>
      <c r="D86" s="20" t="inlineStr">
        <is>
          <t>C</t>
        </is>
      </c>
      <c r="E86" s="20" t="inlineStr"/>
      <c r="F86" s="20" t="inlineStr">
        <is>
          <t>cjp_biography_curated_normalized.xlsx (14 fields — no Link)</t>
        </is>
      </c>
    </row>
    <row r="87" ht="18" customHeight="1">
      <c r="A87" s="25" t="inlineStr">
        <is>
          <t>GC033</t>
        </is>
      </c>
      <c r="B87" s="20" t="inlineStr">
        <is>
          <t>Chapter 13: 21st Chief Justice of the Philippines</t>
        </is>
      </c>
      <c r="C87" s="20" t="inlineStr">
        <is>
          <t>2005-12-07</t>
        </is>
      </c>
      <c r="D87" s="20" t="inlineStr">
        <is>
          <t>C</t>
        </is>
      </c>
      <c r="E87" s="20" t="inlineStr"/>
      <c r="F87" s="20" t="inlineStr">
        <is>
          <t>cjp_biography_curated_normalized.xlsx (14 fields — no Link)</t>
        </is>
      </c>
    </row>
    <row r="88" ht="18" customHeight="1">
      <c r="A88" s="25" t="inlineStr">
        <is>
          <t>GC034</t>
        </is>
      </c>
      <c r="B88" s="20" t="inlineStr">
        <is>
          <t>Chapter 14: Liberty and Prosperity (Life after the Supreme Court)</t>
        </is>
      </c>
      <c r="C88" s="20" t="inlineStr">
        <is>
          <t>2006-12-07</t>
        </is>
      </c>
      <c r="D88" s="20" t="inlineStr">
        <is>
          <t>C</t>
        </is>
      </c>
      <c r="E88" s="20" t="inlineStr"/>
      <c r="F88" s="20" t="inlineStr">
        <is>
          <t>cjp_biography_curated_normalized.xlsx (14 fields — no Link)</t>
        </is>
      </c>
    </row>
    <row r="89" ht="18" customHeight="1">
      <c r="A89" s="25" t="inlineStr">
        <is>
          <t>GC035</t>
        </is>
      </c>
      <c r="B89" s="20" t="inlineStr">
        <is>
          <t>Chapter 15: Papal Award</t>
        </is>
      </c>
      <c r="C89" s="20" t="inlineStr">
        <is>
          <t>2024-01-01</t>
        </is>
      </c>
      <c r="D89" s="20" t="inlineStr">
        <is>
          <t>C</t>
        </is>
      </c>
      <c r="E89" s="20" t="inlineStr"/>
      <c r="F89" s="20" t="inlineStr">
        <is>
          <t>cjp_biography_curated_normalized.xlsx (14 fields — no Link)</t>
        </is>
      </c>
    </row>
    <row r="91" ht="28" customHeight="1">
      <c r="A91" s="5" t="inlineStr">
        <is>
          <t>All one theme</t>
        </is>
      </c>
      <c r="B91" s="6" t="inlineStr">
        <is>
          <t>Every biography chapter is theme C (biographical and personal) — 35 of 35. That is correct for the material, but it means theme C is carried almost entirely by the biography and by Justice and Faith / Love God, Serve Man.</t>
        </is>
      </c>
    </row>
    <row r="93" ht="20" customHeight="1">
      <c r="A93" s="3" t="inlineStr">
        <is>
          <t>THE FIVE THEMES</t>
        </is>
      </c>
      <c r="B93" s="4" t="n"/>
      <c r="C93" s="4" t="n"/>
      <c r="D93" s="4" t="n"/>
      <c r="E93" s="4" t="n"/>
      <c r="F93" s="4" t="n"/>
    </row>
    <row r="94">
      <c r="A94" s="12" t="inlineStr">
        <is>
          <t>Code</t>
        </is>
      </c>
      <c r="B94" s="12" t="inlineStr">
        <is>
          <t>Theme</t>
        </is>
      </c>
      <c r="C94" s="12" t="inlineStr">
        <is>
          <t>Docs now</t>
        </is>
      </c>
      <c r="D94" s="12" t="inlineStr">
        <is>
          <t>Folder</t>
        </is>
      </c>
      <c r="E94" s="12" t="inlineStr"/>
      <c r="F94" s="12" t="inlineStr">
        <is>
          <t>What belongs here</t>
        </is>
      </c>
    </row>
    <row r="95" ht="30" customHeight="1">
      <c r="A95" s="23" t="inlineStr">
        <is>
          <t>A</t>
        </is>
      </c>
      <c r="B95" s="20" t="inlineStr">
        <is>
          <t>Liberty and Rule of Law</t>
        </is>
      </c>
      <c r="C95" s="20" t="n">
        <v>606</v>
      </c>
      <c r="D95" s="20" t="inlineStr">
        <is>
          <t>A_liberty_rule_of_law</t>
        </is>
      </c>
      <c r="E95" s="20" t="inlineStr"/>
      <c r="F95" s="20" t="inlineStr">
        <is>
          <t>Constitutional doctrine, due process, judicial independence and review, civil liberties, the courts as the last bulwark.</t>
        </is>
      </c>
    </row>
    <row r="96" ht="30" customHeight="1">
      <c r="A96" s="23" t="inlineStr">
        <is>
          <t>B</t>
        </is>
      </c>
      <c r="B96" s="20" t="inlineStr">
        <is>
          <t>Prosperity and Economic Philosophy</t>
        </is>
      </c>
      <c r="C96" s="20" t="n">
        <v>47</v>
      </c>
      <c r="D96" s="20" t="inlineStr">
        <is>
          <t>B_prosperity_economic_philosophy</t>
        </is>
      </c>
      <c r="E96" s="20" t="inlineStr"/>
      <c r="F96" s="20" t="inlineStr">
        <is>
          <t>Economic governance, business and investment law, MSMEs, social justice as an economic question.</t>
        </is>
      </c>
    </row>
    <row r="97" ht="30" customHeight="1">
      <c r="A97" s="23" t="inlineStr">
        <is>
          <t>C</t>
        </is>
      </c>
      <c r="B97" s="20" t="inlineStr">
        <is>
          <t>Biographical and Personal</t>
        </is>
      </c>
      <c r="C97" s="20" t="n">
        <v>225</v>
      </c>
      <c r="D97" s="20" t="inlineStr">
        <is>
          <t>C_biographical_personal</t>
        </is>
      </c>
      <c r="E97" s="20" t="inlineStr"/>
      <c r="F97" s="20" t="inlineStr">
        <is>
          <t>Early life, family, faith, mentors, friendships, honours — the man rather than the office.</t>
        </is>
      </c>
    </row>
    <row r="98" ht="30" customHeight="1">
      <c r="A98" s="23" t="inlineStr">
        <is>
          <t>D</t>
        </is>
      </c>
      <c r="B98" s="20" t="inlineStr">
        <is>
          <t>FLP Mission and Foundation</t>
        </is>
      </c>
      <c r="C98" s="20" t="n">
        <v>72</v>
      </c>
      <c r="D98" s="20" t="inlineStr">
        <is>
          <t>D_flp_mission_foundation</t>
        </is>
      </c>
      <c r="E98" s="20" t="inlineStr"/>
      <c r="F98" s="20" t="inlineStr">
        <is>
          <t>Scholarships, the dissertation contest, donors and partners, the Museum.</t>
        </is>
      </c>
    </row>
    <row r="99" ht="30" customHeight="1">
      <c r="A99" s="23" t="inlineStr">
        <is>
          <t>E</t>
        </is>
      </c>
      <c r="B99" s="20" t="inlineStr">
        <is>
          <t>Current Events Commentary</t>
        </is>
      </c>
      <c r="C99" s="20" t="n">
        <v>154</v>
      </c>
      <c r="D99" s="20" t="inlineStr">
        <is>
          <t>E_current_events_commentary</t>
        </is>
      </c>
      <c r="E99" s="20" t="inlineStr"/>
      <c r="F99" s="20" t="inlineStr">
        <is>
          <t>Time-bound commentary on Philippine political events, elections, geopolitics.</t>
        </is>
      </c>
    </row>
    <row r="101" ht="28" customHeight="1">
      <c r="A101" s="7" t="inlineStr">
        <is>
          <t>The distribution is lopsided</t>
        </is>
      </c>
      <c r="B101" s="8" t="inlineStr">
        <is>
          <t>Theme A holds 606 of 1104 documents; theme B holds 47. A theme is a SHELF, one per document — not a score, and not the same thing as the 34 retrieval topics. Do not use theme counts to judge retrieval coverage.</t>
        </is>
      </c>
    </row>
    <row r="103" ht="20" customHeight="1">
      <c r="A103" s="3" t="inlineStr">
        <is>
          <t>THE IDENTIFIER</t>
        </is>
      </c>
      <c r="B103" s="4" t="n"/>
      <c r="C103" s="4" t="n"/>
      <c r="D103" s="4" t="n"/>
      <c r="E103" s="4" t="n"/>
      <c r="F103" s="4" t="n"/>
    </row>
    <row r="104">
      <c r="A104" s="12" t="inlineStr">
        <is>
          <t>Letter</t>
        </is>
      </c>
      <c r="B104" s="12" t="inlineStr">
        <is>
          <t>Format</t>
        </is>
      </c>
      <c r="C104" s="12" t="inlineStr">
        <is>
          <t>Documents now</t>
        </is>
      </c>
      <c r="D104" s="12" t="inlineStr">
        <is>
          <t>After batch-04</t>
        </is>
      </c>
      <c r="E104" s="12" t="inlineStr"/>
      <c r="F104" s="12" t="inlineStr">
        <is>
          <t>Pinned workbook</t>
        </is>
      </c>
    </row>
    <row r="105" ht="20" customHeight="1">
      <c r="A105" s="25" t="inlineStr">
        <is>
          <t>C</t>
        </is>
      </c>
      <c r="B105" s="20" t="inlineStr">
        <is>
          <t>column</t>
        </is>
      </c>
      <c r="C105" s="20" t="n">
        <v>785</v>
      </c>
      <c r="D105" s="20" t="n">
        <v>803</v>
      </c>
      <c r="E105" s="20" t="inlineStr"/>
      <c r="F105" s="20" t="inlineStr">
        <is>
          <t>cjp_columns_curated_normalized.xlsx</t>
        </is>
      </c>
    </row>
    <row r="106" ht="20" customHeight="1">
      <c r="A106" s="25" t="inlineStr">
        <is>
          <t>B</t>
        </is>
      </c>
      <c r="B106" s="20" t="inlineStr">
        <is>
          <t>book chapter</t>
        </is>
      </c>
      <c r="C106" s="20" t="n">
        <v>131</v>
      </c>
      <c r="D106" s="20" t="n">
        <v>299</v>
      </c>
      <c r="E106" s="20" t="inlineStr"/>
      <c r="F106" s="20" t="inlineStr">
        <is>
          <t>cjp_books_curated_normalized.xlsx</t>
        </is>
      </c>
    </row>
    <row r="107" ht="20" customHeight="1">
      <c r="A107" s="25" t="inlineStr">
        <is>
          <t>S</t>
        </is>
      </c>
      <c r="B107" s="20" t="inlineStr">
        <is>
          <t>speech</t>
        </is>
      </c>
      <c r="C107" s="20" t="n">
        <v>153</v>
      </c>
      <c r="D107" s="20" t="n">
        <v>153</v>
      </c>
      <c r="E107" s="20" t="inlineStr"/>
      <c r="F107" s="20" t="inlineStr">
        <is>
          <t>cjp_speeches_curated_normalized.xlsx</t>
        </is>
      </c>
    </row>
    <row r="108" ht="20" customHeight="1">
      <c r="A108" s="25" t="inlineStr">
        <is>
          <t>G</t>
        </is>
      </c>
      <c r="B108" s="20" t="inlineStr">
        <is>
          <t>biography chapter</t>
        </is>
      </c>
      <c r="C108" s="20" t="n">
        <v>35</v>
      </c>
      <c r="D108" s="20" t="n">
        <v>35</v>
      </c>
      <c r="E108" s="20" t="inlineStr"/>
      <c r="F108" s="20" t="inlineStr">
        <is>
          <t>cjp_biography_curated_normalized.xlsx (14 fields)</t>
        </is>
      </c>
    </row>
    <row r="110" ht="28" customHeight="1">
      <c r="A110" s="5" t="inlineStr">
        <is>
          <t>Pattern</t>
        </is>
      </c>
      <c r="B110" s="6" t="inlineStr">
        <is>
          <t>^[CBSG][A-E]\d{3}$   e.g. CA003 · BA108 · SB028 · GC021. Letter 1 is the format, letter 2 is the theme, digits 3-5 are a position in that format+theme series — a POSITION, not a count. CA529 does not mean there are 529 columns.</t>
        </is>
      </c>
    </row>
    <row r="111" ht="28" customHeight="1">
      <c r="A111" s="7" t="inlineStr">
        <is>
          <t>Never reused</t>
        </is>
      </c>
      <c r="B111" s="8" t="inlineStr">
        <is>
          <t>An ID is never reused and never renumbered. A retired ID stays retired; a replacement takes a NEW ID and records superseded_doc_id.</t>
        </is>
      </c>
    </row>
    <row r="113" ht="20" customHeight="1">
      <c r="A113" s="3" t="inlineStr">
        <is>
          <t>RETIRED IDENTIFIERS — data/csv/retired_doc_ids.csv</t>
        </is>
      </c>
      <c r="B113" s="4" t="n"/>
      <c r="C113" s="4" t="n"/>
      <c r="D113" s="4" t="n"/>
      <c r="E113" s="4" t="n"/>
      <c r="F113" s="4" t="n"/>
    </row>
    <row r="114">
      <c r="A114" s="12" t="inlineStr">
        <is>
          <t>Doc ID</t>
        </is>
      </c>
      <c r="B114" s="12" t="inlineStr">
        <is>
          <t>Title</t>
        </is>
      </c>
      <c r="C114" s="12" t="inlineStr">
        <is>
          <t>Type</t>
        </is>
      </c>
      <c r="D114" s="12" t="inlineStr">
        <is>
          <t>Superseded by</t>
        </is>
      </c>
      <c r="E114" s="12" t="inlineStr">
        <is>
          <t>Retired</t>
        </is>
      </c>
      <c r="F114" s="12" t="inlineStr">
        <is>
          <t>Reason</t>
        </is>
      </c>
    </row>
    <row r="115" ht="28" customHeight="1">
      <c r="A115" s="25" t="inlineStr">
        <is>
          <t>BA040</t>
        </is>
      </c>
      <c r="B115" s="20" t="inlineStr">
        <is>
          <t>A Centenary of Justice -- Ch. 20: Social Weather Stations v. Comelec -- May Election Surveys Be Banned?</t>
        </is>
      </c>
      <c r="C115" s="20" t="inlineStr">
        <is>
          <t>book</t>
        </is>
      </c>
      <c r="D115" s="20" t="inlineStr">
        <is>
          <t>—</t>
        </is>
      </c>
      <c r="E115" s="20" t="inlineStr">
        <is>
          <t>2026-09-22</t>
        </is>
      </c>
      <c r="F115" s="20" t="inlineStr">
        <is>
          <t>No source text (summary-only); chapter text not in data/ and not online</t>
        </is>
      </c>
    </row>
    <row r="116" ht="28" customHeight="1">
      <c r="A116" s="25" t="inlineStr">
        <is>
          <t>BC009</t>
        </is>
      </c>
      <c r="B116" s="20" t="inlineStr">
        <is>
          <t>A Centenary of Justice -- Appendix D: MPGR (a tribute to Justice Minerva P. Gonzaga-Reyes)</t>
        </is>
      </c>
      <c r="C116" s="20" t="inlineStr">
        <is>
          <t>book</t>
        </is>
      </c>
      <c r="D116" s="20" t="inlineStr">
        <is>
          <t>—</t>
        </is>
      </c>
      <c r="E116" s="20" t="inlineStr">
        <is>
          <t>2026-09-22</t>
        </is>
      </c>
      <c r="F116" s="20" t="inlineStr">
        <is>
          <t>No source text (summary-only); not in data/ and not online</t>
        </is>
      </c>
    </row>
    <row r="117" ht="28" customHeight="1">
      <c r="A117" s="25" t="inlineStr">
        <is>
          <t>BC010</t>
        </is>
      </c>
      <c r="B117" s="20" t="inlineStr">
        <is>
          <t>A Centenary of Justice -- Back Matter: Davide Foreword, Accolades &amp; Aquino Book Review</t>
        </is>
      </c>
      <c r="C117" s="20" t="inlineStr">
        <is>
          <t>book</t>
        </is>
      </c>
      <c r="D117" s="20" t="inlineStr">
        <is>
          <t>—</t>
        </is>
      </c>
      <c r="E117" s="20" t="inlineStr">
        <is>
          <t>2026-09-22</t>
        </is>
      </c>
      <c r="F117" s="20" t="inlineStr">
        <is>
          <t>No source text (summary-only); paratext written by others about the book</t>
        </is>
      </c>
    </row>
    <row r="118" ht="28" customHeight="1">
      <c r="A118" s="25" t="inlineStr">
        <is>
          <t>BD018</t>
        </is>
      </c>
      <c r="B118" s="20" t="inlineStr">
        <is>
          <t>A Centenary of Justice -- Front Matter (Cover, Centennial Prayer, Contents, Foreword, Preface)</t>
        </is>
      </c>
      <c r="C118" s="20" t="inlineStr">
        <is>
          <t>book</t>
        </is>
      </c>
      <c r="D118" s="20" t="inlineStr">
        <is>
          <t>—</t>
        </is>
      </c>
      <c r="E118" s="20" t="inlineStr">
        <is>
          <t>2026-09-22</t>
        </is>
      </c>
      <c r="F118" s="20" t="inlineStr">
        <is>
          <t>No source text (summary-only); not in data/ and not online</t>
        </is>
      </c>
    </row>
    <row r="119" ht="28" customHeight="1">
      <c r="A119" s="25" t="inlineStr">
        <is>
          <t>SA085</t>
        </is>
      </c>
      <c r="B119" s="20" t="inlineStr">
        <is>
          <t>How the Judiciary Can Help the Economy</t>
        </is>
      </c>
      <c r="C119" s="20" t="inlineStr">
        <is>
          <t>speech</t>
        </is>
      </c>
      <c r="D119" s="20" t="inlineStr">
        <is>
          <t>SB085</t>
        </is>
      </c>
      <c r="E119" s="20" t="inlineStr">
        <is>
          <t>2026-09-22</t>
        </is>
      </c>
      <c r="F119" s="20" t="inlineStr">
        <is>
          <t>Duplicate of SB085 (same title, date 2012-11-29 and link); SB085 carries the full text</t>
        </is>
      </c>
    </row>
    <row r="121" ht="20" customHeight="1">
      <c r="A121" s="3" t="inlineStr">
        <is>
          <t>THE TOPIC MODEL — nothing is canonical yet</t>
        </is>
      </c>
      <c r="B121" s="4" t="n"/>
      <c r="C121" s="4" t="n"/>
      <c r="D121" s="4" t="n"/>
      <c r="E121" s="4" t="n"/>
      <c r="F121" s="4" t="n"/>
    </row>
    <row r="122" ht="28" customHeight="1">
      <c r="A122" s="7" t="inlineStr">
        <is>
          <t>Read this first</t>
        </is>
      </c>
      <c r="B122" s="8" t="inlineStr">
        <is>
          <t>There is NO canonical topic set for this corpus. The 35 topics in corpus/voice/topic_map.json are PRIOR ART, not a baseline: hand-written against 79 documents and generated 25 May 2026. The taxonomy for the 1,290-document corpus is derived from the corpus itself at CE-7 to CE-9, signed off, and only then built into centroids at CE-10. Nothing carries over because it is already there.</t>
        </is>
      </c>
    </row>
    <row r="124" ht="20" customHeight="1">
      <c r="A124" s="3" t="inlineStr">
        <is>
          <t>WHY THE 35 CANNOT CARRY OVER</t>
        </is>
      </c>
      <c r="B124" s="4" t="n"/>
      <c r="C124" s="4" t="n"/>
      <c r="D124" s="4" t="n"/>
      <c r="E124" s="4" t="n"/>
      <c r="F124" s="4" t="n"/>
    </row>
    <row r="125">
      <c r="A125" s="12" t="inlineStr">
        <is>
          <t>Reason</t>
        </is>
      </c>
      <c r="B125" s="12" t="inlineStr">
        <is>
          <t>What the evidence says</t>
        </is>
      </c>
      <c r="C125" s="12" t="inlineStr"/>
      <c r="D125" s="12" t="inlineStr"/>
      <c r="E125" s="12" t="inlineStr"/>
      <c r="F125" s="12" t="inlineStr">
        <is>
          <t>Consequence</t>
        </is>
      </c>
    </row>
    <row r="126" ht="32" customHeight="1">
      <c r="A126" s="23" t="inlineStr">
        <is>
          <t>Built on a sliver</t>
        </is>
      </c>
      <c r="B126" s="20" t="inlineStr">
        <is>
          <t>corpus_stats records n_docs = 79: column 64 · speech 15. That is 6% of the corpus it now has to cover.</t>
        </is>
      </c>
      <c r="C126" s="20" t="inlineStr"/>
      <c r="D126" s="20" t="inlineStr"/>
      <c r="E126" s="20" t="inlineStr"/>
      <c r="F126" s="20" t="inlineStr">
        <is>
          <t>A taxonomy fitted to a sample is not a taxonomy for the population.</t>
        </is>
      </c>
    </row>
    <row r="127" ht="32" customHeight="1">
      <c r="A127" s="23" t="inlineStr">
        <is>
          <t>Never saw a book</t>
        </is>
      </c>
      <c r="B127" s="20" t="inlineStr">
        <is>
          <t>Zero book chapters informed it. 299 are arriving — long-form doctrinal argument at a median 2,729 words, against roughly 800 for a column.</t>
        </is>
      </c>
      <c r="C127" s="20" t="inlineStr"/>
      <c r="D127" s="20" t="inlineStr"/>
      <c r="E127" s="20" t="inlineStr"/>
      <c r="F127" s="20" t="inlineStr">
        <is>
          <t>The keyword matchers are column-shaped and were never written for this material.</t>
        </is>
      </c>
    </row>
    <row r="128" ht="32" customHeight="1">
      <c r="A128" s="23" t="inlineStr">
        <is>
          <t>Never saw the biography</t>
        </is>
      </c>
      <c r="B128" s="20" t="inlineStr">
        <is>
          <t>Zero biography chapters informed it. 35 are in the corpus.</t>
        </is>
      </c>
      <c r="C128" s="20" t="inlineStr"/>
      <c r="D128" s="20" t="inlineStr"/>
      <c r="E128" s="20" t="inlineStr"/>
      <c r="F128" s="20" t="inlineStr">
        <is>
          <t>The one format that is purely narrative has no dimension of its own.</t>
        </is>
      </c>
    </row>
    <row r="129" ht="32" customHeight="1">
      <c r="A129" s="23" t="inlineStr">
        <is>
          <t>Three are already dead</t>
        </is>
      </c>
      <c r="B129" s="20" t="inlineStr">
        <is>
          <t>robot_identity_meta holds 0 documents, honors_received 2, death_penalty_and_echegaray 1 — at 79 documents, before the corpus grew.</t>
        </is>
      </c>
      <c r="C129" s="20" t="inlineStr"/>
      <c r="D129" s="20" t="inlineStr"/>
      <c r="E129" s="20" t="inlineStr"/>
      <c r="F129" s="20" t="inlineStr">
        <is>
          <t>They would only look thinner at 1,290.</t>
        </is>
      </c>
    </row>
    <row r="130" ht="32" customHeight="1">
      <c r="A130" s="23" t="inlineStr">
        <is>
          <t>Two are the same vector</t>
        </is>
      </c>
      <c r="B130" s="20" t="inlineStr">
        <is>
          <t>honors_received and robot_identity_meta are byte-identical zero-chunk centroids sharing one gmean fallback.</t>
        </is>
      </c>
      <c r="C130" s="20" t="inlineStr"/>
      <c r="D130" s="20" t="inlineStr"/>
      <c r="E130" s="20" t="inlineStr"/>
      <c r="F130" s="20" t="inlineStr">
        <is>
          <t>They are polluting secondary tags today. A rebuild must resolve the pair.</t>
        </is>
      </c>
    </row>
    <row r="132" ht="20" customHeight="1">
      <c r="A132" s="3" t="inlineStr">
        <is>
          <t>HOW THE TOPIC COUNT IS DERIVED — four converging lines</t>
        </is>
      </c>
      <c r="B132" s="4" t="n"/>
      <c r="C132" s="4" t="n"/>
      <c r="D132" s="4" t="n"/>
      <c r="E132" s="4" t="n"/>
      <c r="F132" s="4" t="n"/>
    </row>
    <row r="133" ht="28" customHeight="1">
      <c r="A133" s="5" t="inlineStr">
        <is>
          <t>1 · Orphan clustering</t>
        </is>
      </c>
      <c r="B133" s="6" t="inlineStr">
        <is>
          <t>Score every document against the prior-art matchers, take everything that scores zero, and cluster it: k-means over k = 2…40, silhouette curve, the knee. Per cluster — size, format mix, top TF-IDF terms, exemplars. Cross-checked at chunk level, because a 2,729-word chapter averages into mush at document level and may fragment.</t>
        </is>
      </c>
    </row>
    <row r="134" ht="28" customHeight="1">
      <c r="A134" s="7" t="inlineStr">
        <is>
          <t>2 · Enrichment vocabulary</t>
        </is>
      </c>
      <c r="B134" s="8" t="inlineStr">
        <is>
          <t>Aggregate primary_topics and sub_topics across all 1,290 enriched rows. Every distinct value appearing in 15 or more documents is a candidate dimension. This is the strongest signal available: it is what the curators wrote by hand, document by document, and it was never fed back into the taxonomy.</t>
        </is>
      </c>
    </row>
    <row r="135" ht="28" customHeight="1">
      <c r="A135" s="5" t="inlineStr">
        <is>
          <t>3 · Per-work coverage</t>
        </is>
      </c>
      <c r="B135" s="6" t="inlineStr">
        <is>
          <t>For each of the twelve works, which candidate dimensions its chapters land on and how many go unmatched. The eight works entering for the first time carry sustained argument that the columns only glance at.</t>
        </is>
      </c>
    </row>
    <row r="136" ht="28" customHeight="1">
      <c r="A136" s="5" t="inlineStr">
        <is>
          <t>4 · Separation and viability</t>
        </is>
      </c>
      <c r="B136" s="6" t="inlineStr">
        <is>
          <t>Provisional centroids for every candidate; pairwise cosine, flagging anything above the merge bar as a rephrase; drop any dimension under the minimum document and chunk counts. The tagging floor is re-derived from the orphan-rate curve swept 0.55 to 0.80, not inherited at 0.68.</t>
        </is>
      </c>
    </row>
    <row r="137" ht="28" customHeight="1">
      <c r="A137" s="7" t="inlineStr">
        <is>
          <t>Rule 4</t>
        </is>
      </c>
      <c r="B137" s="8" t="inlineStr">
        <is>
          <t>A topic dimension is added only from evidence you can point at. Every dimension in the proposal names its cluster or its vocabulary entry, with exemplar doc_ids.</t>
        </is>
      </c>
    </row>
    <row r="138" ht="28" customHeight="1">
      <c r="A138" s="7" t="inlineStr">
        <is>
          <t>The gate</t>
        </is>
      </c>
      <c r="B138" s="8" t="inlineStr">
        <is>
          <t>CE-7 derives · CE-8 DECIDE (human, no CC prompt) · CE-9 proposal + sign-off · CE-10 centroids from scratch. No centroid file is touched before the sign-off is recorded.</t>
        </is>
      </c>
    </row>
    <row r="140" ht="20" customHeight="1">
      <c r="A140" s="3" t="inlineStr">
        <is>
          <t>THE 35 PRIOR-ART TOPICS — candidates to test, not a set to preserve</t>
        </is>
      </c>
      <c r="B140" s="4" t="n"/>
      <c r="C140" s="4" t="n"/>
      <c r="D140" s="4" t="n"/>
      <c r="E140" s="4" t="n"/>
      <c r="F140" s="4" t="n"/>
    </row>
    <row r="141">
      <c r="A141" s="12" t="inlineStr">
        <is>
          <t>Topic id</t>
        </is>
      </c>
      <c r="B141" s="12" t="inlineStr">
        <is>
          <t>Display name</t>
        </is>
      </c>
      <c r="C141" s="12" t="inlineStr">
        <is>
          <t>Tier</t>
        </is>
      </c>
      <c r="D141" s="12" t="inlineStr">
        <is>
          <t>Theme</t>
        </is>
      </c>
      <c r="E141" s="12" t="inlineStr">
        <is>
          <t>Docs @79</t>
        </is>
      </c>
      <c r="F141" s="12" t="inlineStr">
        <is>
          <t>Standing in the rebuild</t>
        </is>
      </c>
    </row>
    <row r="142" ht="18" customHeight="1">
      <c r="A142" s="25" t="inlineStr">
        <is>
          <t>rule_of_law</t>
        </is>
      </c>
      <c r="B142" s="20" t="inlineStr">
        <is>
          <t>The Rule of Law</t>
        </is>
      </c>
      <c r="C142" s="20" t="inlineStr">
        <is>
          <t>anchor</t>
        </is>
      </c>
      <c r="D142" s="20" t="inlineStr">
        <is>
          <t>A</t>
        </is>
      </c>
      <c r="E142" s="20" t="n">
        <v>30</v>
      </c>
      <c r="F142" s="20" t="inlineStr">
        <is>
          <t>candidate — must re-earn its place</t>
        </is>
      </c>
    </row>
    <row r="143" ht="18" customHeight="1">
      <c r="A143" s="25" t="inlineStr">
        <is>
          <t>twin_beacons_doctrine</t>
        </is>
      </c>
      <c r="B143" s="20" t="inlineStr">
        <is>
          <t>Liberty and Prosperity — Twin Beacons</t>
        </is>
      </c>
      <c r="C143" s="20" t="inlineStr">
        <is>
          <t>anchor</t>
        </is>
      </c>
      <c r="D143" s="20" t="inlineStr">
        <is>
          <t>B</t>
        </is>
      </c>
      <c r="E143" s="20" t="n">
        <v>27</v>
      </c>
      <c r="F143" s="20" t="inlineStr">
        <is>
          <t>candidate — must re-earn its place</t>
        </is>
      </c>
    </row>
    <row r="144" ht="18" customHeight="1">
      <c r="A144" s="25" t="inlineStr">
        <is>
          <t>foundation_for_liberty_and_prosperity</t>
        </is>
      </c>
      <c r="B144" s="20" t="inlineStr">
        <is>
          <t>Foundation for Liberty and Prosperity (FLP)</t>
        </is>
      </c>
      <c r="C144" s="20" t="inlineStr">
        <is>
          <t>anchor</t>
        </is>
      </c>
      <c r="D144" s="20" t="inlineStr">
        <is>
          <t>D</t>
        </is>
      </c>
      <c r="E144" s="20" t="n">
        <v>25</v>
      </c>
      <c r="F144" s="20" t="inlineStr">
        <is>
          <t>candidate — must re-earn its place</t>
        </is>
      </c>
    </row>
    <row r="145" ht="18" customHeight="1">
      <c r="A145" s="25" t="inlineStr">
        <is>
          <t>with_due_respect_persona</t>
        </is>
      </c>
      <c r="B145" s="20" t="inlineStr">
        <is>
          <t>'With Due Respect' — the columnist's stance</t>
        </is>
      </c>
      <c r="C145" s="20" t="inlineStr">
        <is>
          <t>anchor</t>
        </is>
      </c>
      <c r="D145" s="20" t="inlineStr">
        <is>
          <t>E</t>
        </is>
      </c>
      <c r="E145" s="20" t="n">
        <v>10</v>
      </c>
      <c r="F145" s="20" t="inlineStr">
        <is>
          <t>candidate — must re-earn its place</t>
        </is>
      </c>
    </row>
    <row r="146" ht="18" customHeight="1">
      <c r="A146" s="25" t="inlineStr">
        <is>
          <t>supreme_court_history</t>
        </is>
      </c>
      <c r="B146" s="20" t="inlineStr">
        <is>
          <t>Supreme Court — history and stewardship</t>
        </is>
      </c>
      <c r="C146" s="20" t="inlineStr">
        <is>
          <t>core</t>
        </is>
      </c>
      <c r="D146" s="20" t="inlineStr">
        <is>
          <t>A</t>
        </is>
      </c>
      <c r="E146" s="20" t="n">
        <v>33</v>
      </c>
      <c r="F146" s="20" t="inlineStr">
        <is>
          <t>candidate — must re-earn its place</t>
        </is>
      </c>
    </row>
    <row r="147" ht="18" customHeight="1">
      <c r="A147" s="25" t="inlineStr">
        <is>
          <t>constitutional_doctrine</t>
        </is>
      </c>
      <c r="B147" s="20" t="inlineStr">
        <is>
          <t>Constitutional Doctrine (1987 Constitution)</t>
        </is>
      </c>
      <c r="C147" s="20" t="inlineStr">
        <is>
          <t>core</t>
        </is>
      </c>
      <c r="D147" s="20" t="inlineStr">
        <is>
          <t>A</t>
        </is>
      </c>
      <c r="E147" s="20" t="n">
        <v>28</v>
      </c>
      <c r="F147" s="20" t="inlineStr">
        <is>
          <t>candidate — must re-earn its place</t>
        </is>
      </c>
    </row>
    <row r="148" ht="18" customHeight="1">
      <c r="A148" s="25" t="inlineStr">
        <is>
          <t>family_and_marriage</t>
        </is>
      </c>
      <c r="B148" s="20" t="inlineStr">
        <is>
          <t>Family — Leni, children, grandchildren</t>
        </is>
      </c>
      <c r="C148" s="20" t="inlineStr">
        <is>
          <t>core</t>
        </is>
      </c>
      <c r="D148" s="20" t="inlineStr">
        <is>
          <t>C</t>
        </is>
      </c>
      <c r="E148" s="20" t="n">
        <v>22</v>
      </c>
      <c r="F148" s="20" t="inlineStr">
        <is>
          <t>candidate — must re-earn its place</t>
        </is>
      </c>
    </row>
    <row r="149" ht="18" customHeight="1">
      <c r="A149" s="25" t="inlineStr">
        <is>
          <t>faith_journey</t>
        </is>
      </c>
      <c r="B149" s="20" t="inlineStr">
        <is>
          <t>Faith Journey — BLD, Pontifical Council, Pro Ecclesia</t>
        </is>
      </c>
      <c r="C149" s="20" t="inlineStr">
        <is>
          <t>core</t>
        </is>
      </c>
      <c r="D149" s="20" t="inlineStr">
        <is>
          <t>C</t>
        </is>
      </c>
      <c r="E149" s="20" t="n">
        <v>20</v>
      </c>
      <c r="F149" s="20" t="inlineStr">
        <is>
          <t>candidate — must re-earn its place</t>
        </is>
      </c>
    </row>
    <row r="150" ht="18" customHeight="1">
      <c r="A150" s="25" t="inlineStr">
        <is>
          <t>flp_scholarship_programs</t>
        </is>
      </c>
      <c r="B150" s="20" t="inlineStr">
        <is>
          <t>FLP Scholarship and Fellowship Programs</t>
        </is>
      </c>
      <c r="C150" s="20" t="inlineStr">
        <is>
          <t>core</t>
        </is>
      </c>
      <c r="D150" s="20" t="inlineStr">
        <is>
          <t>D</t>
        </is>
      </c>
      <c r="E150" s="20" t="n">
        <v>19</v>
      </c>
      <c r="F150" s="20" t="inlineStr">
        <is>
          <t>candidate — must re-earn its place</t>
        </is>
      </c>
    </row>
    <row r="151" ht="18" customHeight="1">
      <c r="A151" s="25" t="inlineStr">
        <is>
          <t>mentors_and_legal_lineage</t>
        </is>
      </c>
      <c r="B151" s="20" t="inlineStr">
        <is>
          <t>Mentors and Legal Lineage</t>
        </is>
      </c>
      <c r="C151" s="20" t="inlineStr">
        <is>
          <t>core</t>
        </is>
      </c>
      <c r="D151" s="20" t="inlineStr">
        <is>
          <t>C</t>
        </is>
      </c>
      <c r="E151" s="20" t="n">
        <v>16</v>
      </c>
      <c r="F151" s="20" t="inlineStr">
        <is>
          <t>candidate — must re-earn its place</t>
        </is>
      </c>
    </row>
    <row r="152" ht="18" customHeight="1">
      <c r="A152" s="25" t="inlineStr">
        <is>
          <t>international_law_disputes</t>
        </is>
      </c>
      <c r="B152" s="20" t="inlineStr">
        <is>
          <t>International Law — Arbitral Award, UNCLOS, EEZ</t>
        </is>
      </c>
      <c r="C152" s="20" t="inlineStr">
        <is>
          <t>core</t>
        </is>
      </c>
      <c r="D152" s="20" t="inlineStr">
        <is>
          <t>A</t>
        </is>
      </c>
      <c r="E152" s="20" t="n">
        <v>15</v>
      </c>
      <c r="F152" s="20" t="inlineStr">
        <is>
          <t>candidate — must re-earn its place</t>
        </is>
      </c>
    </row>
    <row r="153" ht="18" customHeight="1">
      <c r="A153" s="25" t="inlineStr">
        <is>
          <t>msme_and_entrepreneurship</t>
        </is>
      </c>
      <c r="B153" s="20" t="inlineStr">
        <is>
          <t>MSME and Entrepreneurship — the Prosperity Fund</t>
        </is>
      </c>
      <c r="C153" s="20" t="inlineStr">
        <is>
          <t>core</t>
        </is>
      </c>
      <c r="D153" s="20" t="inlineStr">
        <is>
          <t>B</t>
        </is>
      </c>
      <c r="E153" s="20" t="n">
        <v>11</v>
      </c>
      <c r="F153" s="20" t="inlineStr">
        <is>
          <t>candidate — must re-earn its place</t>
        </is>
      </c>
    </row>
    <row r="154" ht="18" customHeight="1">
      <c r="A154" s="25" t="inlineStr">
        <is>
          <t>museum_for_liberty_and_prosperity</t>
        </is>
      </c>
      <c r="B154" s="20" t="inlineStr">
        <is>
          <t>Museum for Liberty and Prosperity</t>
        </is>
      </c>
      <c r="C154" s="20" t="inlineStr">
        <is>
          <t>core</t>
        </is>
      </c>
      <c r="D154" s="20" t="inlineStr">
        <is>
          <t>D</t>
        </is>
      </c>
      <c r="E154" s="20" t="n">
        <v>10</v>
      </c>
      <c r="F154" s="20" t="inlineStr">
        <is>
          <t>candidate — must re-earn its place</t>
        </is>
      </c>
    </row>
    <row r="155" ht="18" customHeight="1">
      <c r="A155" s="25" t="inlineStr">
        <is>
          <t>due_process</t>
        </is>
      </c>
      <c r="B155" s="20" t="inlineStr">
        <is>
          <t>Due Process and Fair Trial</t>
        </is>
      </c>
      <c r="C155" s="20" t="inlineStr">
        <is>
          <t>core</t>
        </is>
      </c>
      <c r="D155" s="20" t="inlineStr">
        <is>
          <t>A</t>
        </is>
      </c>
      <c r="E155" s="20" t="n">
        <v>8</v>
      </c>
      <c r="F155" s="20" t="inlineStr">
        <is>
          <t>candidate — must re-earn its place</t>
        </is>
      </c>
    </row>
    <row r="156" ht="18" customHeight="1">
      <c r="A156" s="25" t="inlineStr">
        <is>
          <t>economic_governance_and_business_law</t>
        </is>
      </c>
      <c r="B156" s="20" t="inlineStr">
        <is>
          <t>Economic Governance and Business Law</t>
        </is>
      </c>
      <c r="C156" s="20" t="inlineStr">
        <is>
          <t>core</t>
        </is>
      </c>
      <c r="D156" s="20" t="inlineStr">
        <is>
          <t>B</t>
        </is>
      </c>
      <c r="E156" s="20" t="n">
        <v>7</v>
      </c>
      <c r="F156" s="20" t="inlineStr">
        <is>
          <t>candidate — must re-earn its place</t>
        </is>
      </c>
    </row>
    <row r="157" ht="18" customHeight="1">
      <c r="A157" s="25" t="inlineStr">
        <is>
          <t>judicial_reform</t>
        </is>
      </c>
      <c r="B157" s="20" t="inlineStr">
        <is>
          <t>Judicial Reform — Four Ins and ACID problems</t>
        </is>
      </c>
      <c r="C157" s="20" t="inlineStr">
        <is>
          <t>core</t>
        </is>
      </c>
      <c r="D157" s="20" t="inlineStr">
        <is>
          <t>A</t>
        </is>
      </c>
      <c r="E157" s="20" t="n">
        <v>6</v>
      </c>
      <c r="F157" s="20" t="inlineStr">
        <is>
          <t>candidate — must re-earn its place</t>
        </is>
      </c>
    </row>
    <row r="158" ht="18" customHeight="1">
      <c r="A158" s="25" t="inlineStr">
        <is>
          <t>prosperity_fund_msme</t>
        </is>
      </c>
      <c r="B158" s="20" t="inlineStr">
        <is>
          <t>Prosperity Fund (MSME)</t>
        </is>
      </c>
      <c r="C158" s="20" t="inlineStr">
        <is>
          <t>core</t>
        </is>
      </c>
      <c r="D158" s="20" t="inlineStr">
        <is>
          <t>D</t>
        </is>
      </c>
      <c r="E158" s="20" t="n">
        <v>5</v>
      </c>
      <c r="F158" s="20" t="inlineStr">
        <is>
          <t>candidate — must re-earn its place</t>
        </is>
      </c>
    </row>
    <row r="159" ht="18" customHeight="1">
      <c r="A159" s="25" t="inlineStr">
        <is>
          <t>robot_identity_meta</t>
        </is>
      </c>
      <c r="B159" s="20" t="inlineStr">
        <is>
          <t>Robot Identity (META)</t>
        </is>
      </c>
      <c r="C159" s="20" t="inlineStr">
        <is>
          <t>meta</t>
        </is>
      </c>
      <c r="D159" s="20" t="inlineStr">
        <is>
          <t>META</t>
        </is>
      </c>
      <c r="E159" s="20" t="n">
        <v>0</v>
      </c>
      <c r="F159" s="20" t="inlineStr">
        <is>
          <t>dead at 79 — must re-earn its place</t>
        </is>
      </c>
    </row>
    <row r="160" ht="18" customHeight="1">
      <c r="A160" s="25" t="inlineStr">
        <is>
          <t>bar_exam_and_legal_education</t>
        </is>
      </c>
      <c r="B160" s="20" t="inlineStr">
        <is>
          <t>Bar Examination and Legal Education</t>
        </is>
      </c>
      <c r="C160" s="20" t="inlineStr">
        <is>
          <t>subordinate</t>
        </is>
      </c>
      <c r="D160" s="20" t="inlineStr">
        <is>
          <t>A</t>
        </is>
      </c>
      <c r="E160" s="20" t="n">
        <v>20</v>
      </c>
      <c r="F160" s="20" t="inlineStr">
        <is>
          <t>candidate — must re-earn its place</t>
        </is>
      </c>
    </row>
    <row r="161" ht="18" customHeight="1">
      <c r="A161" s="25" t="inlineStr">
        <is>
          <t>flp_donors_and_partners</t>
        </is>
      </c>
      <c r="B161" s="20" t="inlineStr">
        <is>
          <t>FLP Donors and Institutional Partners</t>
        </is>
      </c>
      <c r="C161" s="20" t="inlineStr">
        <is>
          <t>subordinate</t>
        </is>
      </c>
      <c r="D161" s="20" t="inlineStr">
        <is>
          <t>D</t>
        </is>
      </c>
      <c r="E161" s="20" t="n">
        <v>19</v>
      </c>
      <c r="F161" s="20" t="inlineStr">
        <is>
          <t>candidate — must re-earn its place</t>
        </is>
      </c>
    </row>
    <row r="162" ht="18" customHeight="1">
      <c r="A162" s="25" t="inlineStr">
        <is>
          <t>icc_and_duterte</t>
        </is>
      </c>
      <c r="B162" s="20" t="inlineStr">
        <is>
          <t>ICC and the Duterte case</t>
        </is>
      </c>
      <c r="C162" s="20" t="inlineStr">
        <is>
          <t>subordinate</t>
        </is>
      </c>
      <c r="D162" s="20" t="inlineStr">
        <is>
          <t>A</t>
        </is>
      </c>
      <c r="E162" s="20" t="n">
        <v>16</v>
      </c>
      <c r="F162" s="20" t="inlineStr">
        <is>
          <t>candidate — must re-earn its place</t>
        </is>
      </c>
    </row>
    <row r="163" ht="18" customHeight="1">
      <c r="A163" s="25" t="inlineStr">
        <is>
          <t>philippine_political_landscape</t>
        </is>
      </c>
      <c r="B163" s="20" t="inlineStr">
        <is>
          <t>Philippine Political Landscape</t>
        </is>
      </c>
      <c r="C163" s="20" t="inlineStr">
        <is>
          <t>subordinate</t>
        </is>
      </c>
      <c r="D163" s="20" t="inlineStr">
        <is>
          <t>E</t>
        </is>
      </c>
      <c r="E163" s="20" t="n">
        <v>16</v>
      </c>
      <c r="F163" s="20" t="inlineStr">
        <is>
          <t>candidate — must re-earn its place</t>
        </is>
      </c>
    </row>
    <row r="164" ht="18" customHeight="1">
      <c r="A164" s="25" t="inlineStr">
        <is>
          <t>eulogies_and_passing</t>
        </is>
      </c>
      <c r="B164" s="20" t="inlineStr">
        <is>
          <t>Eulogies and Passing of Loved Ones</t>
        </is>
      </c>
      <c r="C164" s="20" t="inlineStr">
        <is>
          <t>subordinate</t>
        </is>
      </c>
      <c r="D164" s="20" t="inlineStr">
        <is>
          <t>C</t>
        </is>
      </c>
      <c r="E164" s="20" t="n">
        <v>15</v>
      </c>
      <c r="F164" s="20" t="inlineStr">
        <is>
          <t>candidate — must re-earn its place</t>
        </is>
      </c>
    </row>
    <row r="165" ht="18" customHeight="1">
      <c r="A165" s="25" t="inlineStr">
        <is>
          <t>early_life_sampaloc</t>
        </is>
      </c>
      <c r="B165" s="20" t="inlineStr">
        <is>
          <t>Early Life — Sampaloc, FEU, the Bar</t>
        </is>
      </c>
      <c r="C165" s="20" t="inlineStr">
        <is>
          <t>subordinate</t>
        </is>
      </c>
      <c r="D165" s="20" t="inlineStr">
        <is>
          <t>C</t>
        </is>
      </c>
      <c r="E165" s="20" t="n">
        <v>14</v>
      </c>
      <c r="F165" s="20" t="inlineStr">
        <is>
          <t>candidate — must re-earn its place</t>
        </is>
      </c>
    </row>
    <row r="166" ht="18" customHeight="1">
      <c r="A166" s="25" t="inlineStr">
        <is>
          <t>friendships_and_civic_circles</t>
        </is>
      </c>
      <c r="B166" s="20" t="inlineStr">
        <is>
          <t>Friendships and Civic Circles</t>
        </is>
      </c>
      <c r="C166" s="20" t="inlineStr">
        <is>
          <t>subordinate</t>
        </is>
      </c>
      <c r="D166" s="20" t="inlineStr">
        <is>
          <t>C</t>
        </is>
      </c>
      <c r="E166" s="20" t="n">
        <v>12</v>
      </c>
      <c r="F166" s="20" t="inlineStr">
        <is>
          <t>candidate — must re-earn its place</t>
        </is>
      </c>
    </row>
    <row r="167" ht="18" customHeight="1">
      <c r="A167" s="25" t="inlineStr">
        <is>
          <t>ai_and_technology</t>
        </is>
      </c>
      <c r="B167" s="20" t="inlineStr">
        <is>
          <t>AI, Technology, and the Judiciary</t>
        </is>
      </c>
      <c r="C167" s="20" t="inlineStr">
        <is>
          <t>subordinate</t>
        </is>
      </c>
      <c r="D167" s="20" t="inlineStr">
        <is>
          <t>E</t>
        </is>
      </c>
      <c r="E167" s="20" t="n">
        <v>11</v>
      </c>
      <c r="F167" s="20" t="inlineStr">
        <is>
          <t>candidate — must re-earn its place</t>
        </is>
      </c>
    </row>
    <row r="168" ht="18" customHeight="1">
      <c r="A168" s="25" t="inlineStr">
        <is>
          <t>global_geopolitics</t>
        </is>
      </c>
      <c r="B168" s="20" t="inlineStr">
        <is>
          <t>Global Geopolitics and the ICJ</t>
        </is>
      </c>
      <c r="C168" s="20" t="inlineStr">
        <is>
          <t>subordinate</t>
        </is>
      </c>
      <c r="D168" s="20" t="inlineStr">
        <is>
          <t>E</t>
        </is>
      </c>
      <c r="E168" s="20" t="n">
        <v>10</v>
      </c>
      <c r="F168" s="20" t="inlineStr">
        <is>
          <t>candidate — must re-earn its place</t>
        </is>
      </c>
    </row>
    <row r="169" ht="18" customHeight="1">
      <c r="A169" s="25" t="inlineStr">
        <is>
          <t>eez_resource_sovereignty</t>
        </is>
      </c>
      <c r="B169" s="20" t="inlineStr">
        <is>
          <t>EEZ Resource Sovereignty</t>
        </is>
      </c>
      <c r="C169" s="20" t="inlineStr">
        <is>
          <t>subordinate</t>
        </is>
      </c>
      <c r="D169" s="20" t="inlineStr">
        <is>
          <t>B</t>
        </is>
      </c>
      <c r="E169" s="20" t="n">
        <v>7</v>
      </c>
      <c r="F169" s="20" t="inlineStr">
        <is>
          <t>candidate — must re-earn its place</t>
        </is>
      </c>
    </row>
    <row r="170" ht="18" customHeight="1">
      <c r="A170" s="25" t="inlineStr">
        <is>
          <t>impeachment_accountability</t>
        </is>
      </c>
      <c r="B170" s="20" t="inlineStr">
        <is>
          <t>Impeachment and Accountability</t>
        </is>
      </c>
      <c r="C170" s="20" t="inlineStr">
        <is>
          <t>subordinate</t>
        </is>
      </c>
      <c r="D170" s="20" t="inlineStr">
        <is>
          <t>A</t>
        </is>
      </c>
      <c r="E170" s="20" t="n">
        <v>5</v>
      </c>
      <c r="F170" s="20" t="inlineStr">
        <is>
          <t>candidate — must re-earn its place</t>
        </is>
      </c>
    </row>
    <row r="171" ht="18" customHeight="1">
      <c r="A171" s="25" t="inlineStr">
        <is>
          <t>judicial_activism_and_political_question</t>
        </is>
      </c>
      <c r="B171" s="20" t="inlineStr">
        <is>
          <t>Judicial Activism and the Political Question Doctrine</t>
        </is>
      </c>
      <c r="C171" s="20" t="inlineStr">
        <is>
          <t>subordinate</t>
        </is>
      </c>
      <c r="D171" s="20" t="inlineStr">
        <is>
          <t>A</t>
        </is>
      </c>
      <c r="E171" s="20" t="n">
        <v>5</v>
      </c>
      <c r="F171" s="20" t="inlineStr">
        <is>
          <t>candidate — must re-earn its place</t>
        </is>
      </c>
    </row>
    <row r="172" ht="18" customHeight="1">
      <c r="A172" s="25" t="inlineStr">
        <is>
          <t>jbc_discernment_and_appointment</t>
        </is>
      </c>
      <c r="B172" s="20" t="inlineStr">
        <is>
          <t>JBC Discernment — the Seven Rejections</t>
        </is>
      </c>
      <c r="C172" s="20" t="inlineStr">
        <is>
          <t>subordinate</t>
        </is>
      </c>
      <c r="D172" s="20" t="inlineStr">
        <is>
          <t>C</t>
        </is>
      </c>
      <c r="E172" s="20" t="n">
        <v>5</v>
      </c>
      <c r="F172" s="20" t="inlineStr">
        <is>
          <t>candidate — must re-earn its place</t>
        </is>
      </c>
    </row>
    <row r="173" ht="18" customHeight="1">
      <c r="A173" s="25" t="inlineStr">
        <is>
          <t>asean_law_association</t>
        </is>
      </c>
      <c r="B173" s="20" t="inlineStr">
        <is>
          <t>ASEAN Law Association and Regional Order</t>
        </is>
      </c>
      <c r="C173" s="20" t="inlineStr">
        <is>
          <t>subordinate</t>
        </is>
      </c>
      <c r="D173" s="20" t="inlineStr">
        <is>
          <t>A</t>
        </is>
      </c>
      <c r="E173" s="20" t="n">
        <v>4</v>
      </c>
      <c r="F173" s="20" t="inlineStr">
        <is>
          <t>candidate — must re-earn its place</t>
        </is>
      </c>
    </row>
    <row r="174" ht="18" customHeight="1">
      <c r="A174" s="25" t="inlineStr">
        <is>
          <t>lawyer_ethics_initiative</t>
        </is>
      </c>
      <c r="B174" s="20" t="inlineStr">
        <is>
          <t>Lawyer Ethics Initiative (Super Committee)</t>
        </is>
      </c>
      <c r="C174" s="20" t="inlineStr">
        <is>
          <t>subordinate</t>
        </is>
      </c>
      <c r="D174" s="20" t="inlineStr">
        <is>
          <t>D</t>
        </is>
      </c>
      <c r="E174" s="20" t="n">
        <v>4</v>
      </c>
      <c r="F174" s="20" t="inlineStr">
        <is>
          <t>candidate — must re-earn its place</t>
        </is>
      </c>
    </row>
    <row r="175" ht="18" customHeight="1">
      <c r="A175" s="25" t="inlineStr">
        <is>
          <t>honors_received</t>
        </is>
      </c>
      <c r="B175" s="20" t="inlineStr">
        <is>
          <t>Honors Received</t>
        </is>
      </c>
      <c r="C175" s="20" t="inlineStr">
        <is>
          <t>subordinate</t>
        </is>
      </c>
      <c r="D175" s="20" t="inlineStr">
        <is>
          <t>C</t>
        </is>
      </c>
      <c r="E175" s="20" t="n">
        <v>2</v>
      </c>
      <c r="F175" s="20" t="inlineStr">
        <is>
          <t>dead at 79 — must re-earn its place</t>
        </is>
      </c>
    </row>
    <row r="176" ht="18" customHeight="1">
      <c r="A176" s="25" t="inlineStr">
        <is>
          <t>death_penalty_and_echegaray</t>
        </is>
      </c>
      <c r="B176" s="20" t="inlineStr">
        <is>
          <t>Death Penalty and the Echegaray Reflection</t>
        </is>
      </c>
      <c r="C176" s="20" t="inlineStr">
        <is>
          <t>subordinate</t>
        </is>
      </c>
      <c r="D176" s="20" t="inlineStr">
        <is>
          <t>A</t>
        </is>
      </c>
      <c r="E176" s="20" t="n">
        <v>1</v>
      </c>
      <c r="F176" s="20" t="inlineStr">
        <is>
          <t>dead at 79 — must re-earn its place</t>
        </is>
      </c>
    </row>
    <row r="178" ht="28" customHeight="1">
      <c r="A178" s="5" t="inlineStr">
        <is>
          <t>What 'candidate' means</t>
        </is>
      </c>
      <c r="B178" s="6" t="inlineStr">
        <is>
          <t>A prior-art topic survives into v2 only if the derivation independently produces it: a cluster, a vocabulary entry with enough documents behind it, or both. Surviving is the normal outcome for the anchors. It is not the default.</t>
        </is>
      </c>
    </row>
    <row r="180" ht="20" customHeight="1">
      <c r="A180" s="3" t="inlineStr">
        <is>
          <t>THE THREE LAYERS — which are derived, and from what</t>
        </is>
      </c>
      <c r="B180" s="4" t="n"/>
      <c r="C180" s="4" t="n"/>
      <c r="D180" s="4" t="n"/>
      <c r="E180" s="4" t="n"/>
      <c r="F180" s="4" t="n"/>
    </row>
    <row r="181" ht="28" customHeight="1">
      <c r="A181" s="7" t="inlineStr">
        <is>
          <t>Layer 1 · taxonomy
WHICH topics exist</t>
        </is>
      </c>
      <c r="B181" s="8" t="inlineStr">
        <is>
          <t>A hand-curated Python list, TAXONOMY, at scripts/build_topic_map.py lines 69-649 — ids, display names, definitions, tier, theme anchor and matcher keywords. This is the layer the rebuild rewrites. Until CE-9 is signed off, it holds prior art and nothing more.</t>
        </is>
      </c>
    </row>
    <row r="182" ht="28" customHeight="1">
      <c r="A182" s="5" t="inlineStr">
        <is>
          <t>Layer 2 · assignment and stats
DERIVED from enrichment</t>
        </is>
      </c>
      <c r="B182" s="6" t="inlineStr">
        <is>
          <t>Each document is scored against every topic by matching title + primary_topics + sub_topics + keywords + entity names. doc_count, doc_ids, top_signature_phrases, top_people, top_institutions, top_cases, date_range and the distributions are aggregated the same way.</t>
        </is>
      </c>
    </row>
    <row r="183" ht="28" customHeight="1">
      <c r="A183" s="5" t="inlineStr">
        <is>
          <t>Layer 3 · centroids
DERIVED from embeddings</t>
        </is>
      </c>
      <c r="B183" s="6" t="inlineStr">
        <is>
          <t>CE-10: centroid = mean(label + definition + signature_phrases + exemplar chunks) in the 768-d space. This is what retrieval scores against. Rebuilding centroids does not change which topics exist — that is layer 1, and layer 1 is a decision, not a computation.</t>
        </is>
      </c>
    </row>
    <row r="185" ht="20" customHeight="1">
      <c r="A185" s="3" t="inlineStr">
        <is>
          <t>PERSISTENCE — the assignment has to survive regeneration</t>
        </is>
      </c>
      <c r="B185" s="4" t="n"/>
      <c r="C185" s="4" t="n"/>
      <c r="D185" s="4" t="n"/>
      <c r="E185" s="4" t="n"/>
      <c r="F185" s="4" t="n"/>
    </row>
    <row r="186" ht="28" customHeight="1">
      <c r="A186" s="14" t="inlineStr">
        <is>
          <t>Measured</t>
        </is>
      </c>
      <c r="B186" s="6" t="inlineStr">
        <is>
          <t>0 of 1104 corpus .json files carry topic_paths or any topic field.</t>
        </is>
      </c>
    </row>
    <row r="187" ht="28" customHeight="1">
      <c r="A187" s="5" t="inlineStr">
        <is>
          <t>Why</t>
        </is>
      </c>
      <c r="B187" s="6" t="inlineStr">
        <is>
          <t>apply_topic_paths.py backfills topic_paths into the per-doc .json, but generate_corpus_from_xlsx.py rebuilds those .json from the pinned workbooks, which have no topic column. Every regeneration wiped the backfill, because the pin was taken before the apply step rather than after it.</t>
        </is>
      </c>
    </row>
    <row r="188" ht="28" customHeight="1">
      <c r="A188" s="7" t="inlineStr">
        <is>
          <t>The fixed order</t>
        </is>
      </c>
      <c r="B188" s="8" t="inlineStr">
        <is>
          <t>generate → chunk → embed → topic map → centroids → tag → apply_topic_paths → snapshot.  The pin is taken LAST, so it includes the tags and verify_pin validates a tagged corpus. Running snapshot before apply is what broke it.</t>
        </is>
      </c>
    </row>
  </sheetData>
  <mergeCells count="23">
    <mergeCell ref="B138:F138"/>
    <mergeCell ref="B91:F91"/>
    <mergeCell ref="B3:F3"/>
    <mergeCell ref="B134:F134"/>
    <mergeCell ref="B31:F31"/>
    <mergeCell ref="B46:F46"/>
    <mergeCell ref="B122:F122"/>
    <mergeCell ref="B111:F111"/>
    <mergeCell ref="B136:F136"/>
    <mergeCell ref="B101:F101"/>
    <mergeCell ref="B181:F181"/>
    <mergeCell ref="B13:F13"/>
    <mergeCell ref="B182:F182"/>
    <mergeCell ref="B178:F178"/>
    <mergeCell ref="B186:F186"/>
    <mergeCell ref="B137:F137"/>
    <mergeCell ref="B187:F187"/>
    <mergeCell ref="B183:F183"/>
    <mergeCell ref="B133:F133"/>
    <mergeCell ref="B32:F32"/>
    <mergeCell ref="B110:F110"/>
    <mergeCell ref="B135:F135"/>
    <mergeCell ref="B188:F18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9" customWidth="1" min="1" max="1"/>
    <col width="9" customWidth="1" min="2" max="2"/>
    <col width="34" customWidth="1" min="3" max="3"/>
    <col width="52" customWidth="1" min="4" max="4"/>
    <col width="8" customWidth="1" min="5" max="5"/>
    <col width="20" customWidth="1" min="6" max="6"/>
  </cols>
  <sheetData>
    <row r="1">
      <c r="A1" s="10" t="inlineStr">
        <is>
          <t>Metrics and release gates</t>
        </is>
      </c>
    </row>
    <row r="2">
      <c r="A2" s="10" t="inlineStr">
        <is>
          <t>Targets are set in P0.3, before the build — a target chosen after the number is known is not a target. Baseline is filled at the first end-to-end run; result at evaluation.</t>
        </is>
      </c>
    </row>
    <row r="3">
      <c r="A3" s="11" t="n"/>
    </row>
    <row r="4">
      <c r="A4" s="10" t="inlineStr">
        <is>
          <t>Metric</t>
        </is>
      </c>
      <c r="B4" s="6" t="inlineStr">
        <is>
          <t>Definition</t>
        </is>
      </c>
      <c r="C4" s="6" t="inlineStr">
        <is>
          <t>Target (set in P0.3)</t>
        </is>
      </c>
      <c r="D4" s="6" t="inlineStr">
        <is>
          <t>Baseline</t>
        </is>
      </c>
      <c r="E4" s="6" t="inlineStr">
        <is>
          <t>Result</t>
        </is>
      </c>
      <c r="F4" s="6" t="inlineStr">
        <is>
          <t>Pass?</t>
        </is>
      </c>
    </row>
    <row r="5">
      <c r="A5" s="10" t="inlineStr">
        <is>
          <t>QUALITY</t>
        </is>
      </c>
    </row>
    <row r="6">
      <c r="A6" s="10" t="inlineStr">
        <is>
          <t>Fabricated citations</t>
        </is>
      </c>
      <c r="B6" s="6" t="inlineStr">
        <is>
          <t>Citations naming material that was not in the payload. The one metric with a fixed target.</t>
        </is>
      </c>
      <c r="C6" s="6" t="inlineStr">
        <is>
          <t>0 — release requirement</t>
        </is>
      </c>
      <c r="F6" s="6" t="inlineStr">
        <is>
          <t>[ ]</t>
        </is>
      </c>
    </row>
    <row r="7">
      <c r="A7" s="10" t="inlineStr">
        <is>
          <t>Grounding fidelity</t>
        </is>
      </c>
      <c r="B7" s="6" t="inlineStr">
        <is>
          <t>Share of answers whose claims trace to the retrieved material.</t>
        </is>
      </c>
      <c r="F7" s="6" t="inlineStr">
        <is>
          <t>[ ]</t>
        </is>
      </c>
    </row>
    <row r="8">
      <c r="A8" s="10" t="inlineStr">
        <is>
          <t>Retrieval recall at k</t>
        </is>
      </c>
      <c r="B8" s="6" t="inlineStr">
        <is>
          <t>Share of evaluation queries where the expected passage reached the composer.</t>
        </is>
      </c>
      <c r="F8" s="6" t="inlineStr">
        <is>
          <t>[ ]</t>
        </is>
      </c>
    </row>
    <row r="9">
      <c r="A9" s="10" t="inlineStr">
        <is>
          <t>Routing accuracy</t>
        </is>
      </c>
      <c r="B9" s="6" t="inlineStr">
        <is>
          <t>Predicted theme against the expected one. Diagnostic — a soft prior should hold recall even when this is wrong.</t>
        </is>
      </c>
      <c r="F9" s="6" t="inlineStr">
        <is>
          <t>[ ]</t>
        </is>
      </c>
    </row>
    <row r="10">
      <c r="A10" s="10" t="inlineStr">
        <is>
          <t>Register match</t>
        </is>
      </c>
      <c r="B10" s="6" t="inlineStr">
        <is>
          <t>Register used against the register the selection stage directed.</t>
        </is>
      </c>
      <c r="F10" s="6" t="inlineStr">
        <is>
          <t>[ ]</t>
        </is>
      </c>
    </row>
    <row r="11">
      <c r="A11" s="10" t="inlineStr">
        <is>
          <t>Disclaimer presence</t>
        </is>
      </c>
      <c r="B11" s="6" t="inlineStr">
        <is>
          <t>Share of responses in a regulated theme carrying the approved disclaimer.</t>
        </is>
      </c>
      <c r="C11" s="6" t="inlineStr">
        <is>
          <t>100%</t>
        </is>
      </c>
      <c r="F11" s="6" t="inlineStr">
        <is>
          <t>[ ]</t>
        </is>
      </c>
    </row>
    <row r="12">
      <c r="A12" s="10" t="inlineStr">
        <is>
          <t>Out-of-scope decline</t>
        </is>
      </c>
      <c r="B12" s="6" t="inlineStr">
        <is>
          <t>Off-domain questions declined in voice, without falsely declining in-scope ones.</t>
        </is>
      </c>
      <c r="F12" s="6" t="inlineStr">
        <is>
          <t>[ ]</t>
        </is>
      </c>
    </row>
    <row r="13">
      <c r="A13" s="10" t="inlineStr">
        <is>
          <t>Blind A/B preference</t>
        </is>
      </c>
      <c r="B13" s="6" t="inlineStr">
        <is>
          <t>Assessor preference between two configurations, judged blind.</t>
        </is>
      </c>
      <c r="F13" s="6" t="inlineStr">
        <is>
          <t>[ ]</t>
        </is>
      </c>
    </row>
    <row r="14">
      <c r="A14" s="10" t="inlineStr">
        <is>
          <t>LATENCY</t>
        </is>
      </c>
    </row>
    <row r="15">
      <c r="A15" s="10" t="inlineStr">
        <is>
          <t>End-to-end p50 / p95</t>
        </is>
      </c>
      <c r="B15" s="6" t="inlineStr">
        <is>
          <t>Total response time. Report both — the worst paths inflate p95, not the median.</t>
        </is>
      </c>
      <c r="F15" s="6" t="inlineStr">
        <is>
          <t>[ ]</t>
        </is>
      </c>
    </row>
    <row r="16">
      <c r="A16" s="10" t="inlineStr">
        <is>
          <t>Time to first token</t>
        </is>
      </c>
      <c r="B16" s="6" t="inlineStr">
        <is>
          <t>First token out of the composer, measured warm.</t>
        </is>
      </c>
      <c r="F16" s="6" t="inlineStr">
        <is>
          <t>[ ]</t>
        </is>
      </c>
    </row>
    <row r="17">
      <c r="A17" s="10" t="inlineStr">
        <is>
          <t>Time to first audio</t>
        </is>
      </c>
      <c r="B17" s="6" t="inlineStr">
        <is>
          <t>First audio the visitor hears. The number that actually describes the experience.</t>
        </is>
      </c>
      <c r="F17" s="6" t="inlineStr">
        <is>
          <t>[ ]</t>
        </is>
      </c>
    </row>
    <row r="18">
      <c r="A18" s="10" t="inlineStr">
        <is>
          <t>Per-stage breakdown</t>
        </is>
      </c>
      <c r="B18" s="6" t="inlineStr">
        <is>
          <t>Time in capture, transcription, retrieval, composition, synthesis. Attribute before optimising.</t>
        </is>
      </c>
      <c r="F18" s="6" t="inlineStr">
        <is>
          <t>[ ]</t>
        </is>
      </c>
    </row>
    <row r="19">
      <c r="A19" s="10" t="inlineStr">
        <is>
          <t>COST</t>
        </is>
      </c>
    </row>
    <row r="20">
      <c r="A20" s="10" t="inlineStr">
        <is>
          <t>Cost per query</t>
        </is>
      </c>
      <c r="B20" s="6" t="inlineStr">
        <is>
          <t>Average per response, split input versus output and cached versus uncached.</t>
        </is>
      </c>
      <c r="F20" s="6" t="inlineStr">
        <is>
          <t>[ ]</t>
        </is>
      </c>
    </row>
    <row r="21">
      <c r="A21" s="10" t="inlineStr">
        <is>
          <t>Output tokens per answer</t>
        </is>
      </c>
      <c r="B21" s="6" t="inlineStr">
        <is>
          <t>Answer length. Drives cost and latency regardless of payload size.</t>
        </is>
      </c>
      <c r="F21" s="6" t="inlineStr">
        <is>
          <t>[ ]</t>
        </is>
      </c>
    </row>
    <row r="22">
      <c r="A22" s="10" t="inlineStr">
        <is>
          <t>Cache hit rate</t>
        </is>
      </c>
      <c r="B22" s="6" t="inlineStr">
        <is>
          <t>Share of composer calls hitting the cached prefix.</t>
        </is>
      </c>
      <c r="F22" s="6" t="inlineStr">
        <is>
          <t>[ ]</t>
        </is>
      </c>
    </row>
    <row r="23">
      <c r="A23" s="10" t="inlineStr">
        <is>
          <t>GATES — a breach blocks release, it does not start a discussion</t>
        </is>
      </c>
    </row>
    <row r="24">
      <c r="A24" s="10" t="inlineStr">
        <is>
          <t>Fallback fire rate</t>
        </is>
      </c>
      <c r="B24" s="6" t="inlineStr">
        <is>
          <t>Share of turns needing the fuller-document retry. Above the gate, fix retrieval upstream.</t>
        </is>
      </c>
      <c r="C24" s="6" t="inlineStr">
        <is>
          <t>&lt; ~10%</t>
        </is>
      </c>
      <c r="F24" s="6" t="inlineStr">
        <is>
          <t>[ ]</t>
        </is>
      </c>
    </row>
    <row r="25">
      <c r="A25" s="10" t="inlineStr">
        <is>
          <t>Validity gate fire rate</t>
        </is>
      </c>
      <c r="B25" s="6" t="inlineStr">
        <is>
          <t>Share of turns where a hard check failed. Above the gate, fix composition upstream.</t>
        </is>
      </c>
      <c r="C25" s="6" t="inlineStr">
        <is>
          <t>&lt; ~10%</t>
        </is>
      </c>
      <c r="F25" s="6" t="inlineStr">
        <is>
          <t>[ ]</t>
        </is>
      </c>
    </row>
    <row r="26">
      <c r="A26" s="10" t="inlineStr">
        <is>
          <t>Wake hit rate, near</t>
        </is>
      </c>
      <c r="B26" s="6" t="inlineStr">
        <is>
          <t>Live wake attempts that fire at conversational distance, per speaker.</t>
        </is>
      </c>
      <c r="F26" s="6" t="inlineStr">
        <is>
          <t>[ ]</t>
        </is>
      </c>
    </row>
    <row r="27">
      <c r="A27" s="10" t="inlineStr">
        <is>
          <t>Wake hit rate, far</t>
        </is>
      </c>
      <c r="B27" s="6" t="inlineStr">
        <is>
          <t>Live wake attempts that fire at kiosk distance, per speaker.</t>
        </is>
      </c>
      <c r="F27" s="6" t="inlineStr">
        <is>
          <t>[ ]</t>
        </is>
      </c>
    </row>
    <row r="28">
      <c r="A28" s="10" t="inlineStr">
        <is>
          <t>Wake false accepts</t>
        </is>
      </c>
      <c r="B28" s="6" t="inlineStr">
        <is>
          <t>Fires during normal conversation, including planted spoken near-misses.</t>
        </is>
      </c>
      <c r="C28" s="6" t="inlineStr">
        <is>
          <t>0 over the soak</t>
        </is>
      </c>
      <c r="F28" s="6" t="inlineStr">
        <is>
          <t>[ ]</t>
        </is>
      </c>
    </row>
    <row r="29">
      <c r="A29" s="10" t="inlineStr">
        <is>
          <t>On-device memory fit</t>
        </is>
      </c>
      <c r="B29" s="6" t="inlineStr">
        <is>
          <t>Peak resident memory on the target hardware under sustained load.</t>
        </is>
      </c>
      <c r="F29" s="6" t="inlineStr">
        <is>
          <t>[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9" customWidth="1" min="1" max="1"/>
    <col width="9" customWidth="1" min="2" max="2"/>
    <col width="34" customWidth="1" min="3" max="3"/>
  </cols>
  <sheetData>
    <row r="1">
      <c r="A1" s="10" t="inlineStr">
        <is>
          <t>Pointing this plan at a different robot</t>
        </is>
      </c>
    </row>
    <row r="2">
      <c r="A2" s="10" t="inlineStr">
        <is>
          <t>A new persona, a new corpus, new books, or a new body of knowledge. What changes, what is configuration, and what you should not touch.</t>
        </is>
      </c>
    </row>
    <row r="3">
      <c r="A3" s="11" t="n"/>
    </row>
    <row r="4">
      <c r="A4" s="10" t="inlineStr">
        <is>
          <t>Phase</t>
        </is>
      </c>
      <c r="B4" s="6" t="inlineStr">
        <is>
          <t>Effort</t>
        </is>
      </c>
      <c r="C4" s="6" t="inlineStr">
        <is>
          <t>What actually changes</t>
        </is>
      </c>
    </row>
    <row r="5">
      <c r="A5" s="10" t="inlineStr">
        <is>
          <t>P0 · Frame</t>
        </is>
      </c>
      <c r="B5" s="6" t="inlineStr">
        <is>
          <t>Rewrite</t>
        </is>
      </c>
      <c r="C5" s="6" t="inlineStr">
        <is>
          <t>Entirely new. A different persona has different boundaries, different rights holders, different things it must refuse, and a different definition of success. Nothing here carries over except the habit of writing it down first.</t>
        </is>
      </c>
    </row>
    <row r="6">
      <c r="A6" s="10" t="inlineStr">
        <is>
          <t>P1 · Source &amp; curate</t>
        </is>
      </c>
      <c r="B6" s="6" t="inlineStr">
        <is>
          <t>Rewrite</t>
        </is>
      </c>
      <c r="C6" s="6" t="inlineStr">
        <is>
          <t>New material, new rights, new curation. The schema from the last project is a good starting point and will still need fields the new material demands. This phase sets the ceiling on everything after it — a thin corpus cannot be rescued downstream.</t>
        </is>
      </c>
    </row>
    <row r="7">
      <c r="A7" s="10" t="inlineStr">
        <is>
          <t>P2 · Build corpus</t>
        </is>
      </c>
      <c r="B7" s="6" t="inlineStr">
        <is>
          <t>Configuration</t>
        </is>
      </c>
      <c r="C7" s="6" t="inlineStr">
        <is>
          <t>Same scripts. Chunk sizes may move for different material: transcripts, verse and legal text do not chunk like newspaper columns. Re-check the document-unit decision for anything long-form.</t>
        </is>
      </c>
    </row>
    <row r="8">
      <c r="A8" s="10" t="inlineStr">
        <is>
          <t>P3 · Knowledge model</t>
        </is>
      </c>
      <c r="B8" s="6" t="inlineStr">
        <is>
          <t>Configuration + one decision</t>
        </is>
      </c>
      <c r="C8" s="6" t="inlineStr">
        <is>
          <t>Same pipeline. The encoder decision (P3.1) should be re-checked rather than assumed — a new corpus in a new language or register can change the answer. The topic map is always built from scratch; never carry centroids between projects.</t>
        </is>
      </c>
    </row>
    <row r="9">
      <c r="A9" s="10" t="inlineStr">
        <is>
          <t>P4 · Retrieval</t>
        </is>
      </c>
      <c r="B9" s="6" t="inlineStr">
        <is>
          <t>Reuse</t>
        </is>
      </c>
      <c r="C9" s="6" t="inlineStr">
        <is>
          <t>This is the most portable phase. Expect to re-tune thresholds and weights per corpus, but not to rewrite the code. The principle holds everywhere: topics bias, passages decide, the keyword arm rescues exact identifiers.</t>
        </is>
      </c>
    </row>
    <row r="10">
      <c r="A10" s="10" t="inlineStr">
        <is>
          <t>P5 · Composition</t>
        </is>
      </c>
      <c r="B10" s="6" t="inlineStr">
        <is>
          <t>Reuse + new persona card</t>
        </is>
      </c>
      <c r="C10" s="6" t="inlineStr">
        <is>
          <t>Same composer. The persona card is written fresh, and the length discipline usually needs re-tuning for a different speaking style.</t>
        </is>
      </c>
    </row>
    <row r="11">
      <c r="A11" s="10" t="inlineStr">
        <is>
          <t>P6 · Validity gate</t>
        </is>
      </c>
      <c r="B11" s="6" t="inlineStr">
        <is>
          <t>Reuse + new wording</t>
        </is>
      </c>
      <c r="C11" s="6" t="inlineStr">
        <is>
          <t>The checks are generic. What changes is the vocabulary of exact facts worth protecting, the phrase palette, and every word the robot speaks when it refuses — that wording needs fresh approval, and the audio needs re-rendering.</t>
        </is>
      </c>
    </row>
    <row r="12">
      <c r="A12" s="10" t="inlineStr">
        <is>
          <t>P7 · Voice &amp; hardware</t>
        </is>
      </c>
      <c r="B12" s="6" t="inlineStr">
        <is>
          <t>Rewrite if the hardware changes</t>
        </is>
      </c>
      <c r="C12" s="6" t="inlineStr">
        <is>
          <t>New wake phrase, new voice, new consent, new on-device budget. If the hardware is the same, most of this is configuration; if it is not, re-measure everything, because a fit on one device proves nothing about another.</t>
        </is>
      </c>
    </row>
    <row r="13">
      <c r="A13" s="10" t="inlineStr">
        <is>
          <t>P8 · Evaluate</t>
        </is>
      </c>
      <c r="B13" s="6" t="inlineStr">
        <is>
          <t>New gold set, same harness</t>
        </is>
      </c>
      <c r="C13" s="6" t="inlineStr">
        <is>
          <t>The harness and the metric definitions carry over. The gold set is always new — it is the part that encodes what this particular persona is supposed to know.</t>
        </is>
      </c>
    </row>
    <row r="14">
      <c r="A14" s="10" t="inlineStr">
        <is>
          <t>P9 · Decide</t>
        </is>
      </c>
      <c r="B14" s="6" t="inlineStr">
        <is>
          <t>Reuse</t>
        </is>
      </c>
      <c r="C14" s="6" t="inlineStr">
        <is>
          <t>Same shape of report, same go/no-go, new numbers.</t>
        </is>
      </c>
    </row>
    <row r="15">
      <c r="A15" s="10" t="inlineStr">
        <is>
          <t>P10 · Deploy &amp; operate</t>
        </is>
      </c>
      <c r="B15" s="6" t="inlineStr">
        <is>
          <t>Mostly reuse</t>
        </is>
      </c>
      <c r="C15" s="6" t="inlineStr">
        <is>
          <t>Runbooks, monitoring and the operator interface are largely portable. Topology changes with the deployment site and its network.</t>
        </is>
      </c>
    </row>
    <row r="16">
      <c r="A16" s="10" t="inlineStr">
        <is>
          <t>P11 · Grow</t>
        </is>
      </c>
      <c r="B16" s="6" t="inlineStr">
        <is>
          <t>Reuse as-is</t>
        </is>
      </c>
      <c r="C16" s="6" t="inlineStr">
        <is>
          <t>The corpus expansion runbook is deliberately corpus-agnostic. It is the sheet you will use most often, long after the build phases are finished.</t>
        </is>
      </c>
    </row>
    <row r="17">
      <c r="A17" s="11" t="n"/>
    </row>
    <row r="18">
      <c r="A18" s="10" t="inlineStr">
        <is>
          <t>DO NOT CARRY OVER</t>
        </is>
      </c>
      <c r="C18" s="6" t="inlineStr">
        <is>
          <t>Topic centroids, tuned thresholds, the gold set, the persona card, cached audio, or any measured baseline. Each one is specific to a corpus and a voice, and reusing it silently is how a new project inherits an old project's blind spots.</t>
        </is>
      </c>
    </row>
    <row r="19">
      <c r="A19" s="10" t="inlineStr">
        <is>
          <t>ALWAYS CARRY OVER</t>
        </is>
      </c>
      <c r="C19" s="6" t="inlineStr">
        <is>
          <t>The gate discipline: rights before build, encoder ratified before indexing, wake phrase ratified before the bench, attestation before promotion, and append-only corpus handling. Those four gates are what make the rest reproducible.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2026-09-26T07:06:47Z</dcterms:created>
  <dcterms:modified xmlns:dcterms="http://purl.org/dc/terms/" xmlns:xsi="http://www.w3.org/2001/XMLSchema-instance" xsi:type="dcterms:W3CDTF">2026-09-26T07:07:14Z</dcterms:modified>
</cp:coreProperties>
</file>